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ignaturehealthcarellc-my.sharepoint.com/personal/123279_shccs_com/Documents/Stuff/"/>
    </mc:Choice>
  </mc:AlternateContent>
  <xr:revisionPtr revIDLastSave="87635" documentId="8_{BE74F7FC-1B80-484E-AA9D-F3DA0E2D1FFA}" xr6:coauthVersionLast="46" xr6:coauthVersionMax="46" xr10:uidLastSave="{F88BB1F8-0291-4A84-A9C8-6FDD2EAB8951}"/>
  <bookViews>
    <workbookView xWindow="-28920" yWindow="-120" windowWidth="29040" windowHeight="15990" activeTab="1" xr2:uid="{4B667A7C-1824-492E-9F1B-A82571001DD9}"/>
  </bookViews>
  <sheets>
    <sheet name="Loan_Schedule_Original" sheetId="1" r:id="rId1"/>
    <sheet name="Loan_Schedule_Curr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8" i="2" l="1"/>
  <c r="L17" i="2"/>
  <c r="L16" i="2"/>
  <c r="J2" i="1"/>
  <c r="D361" i="1"/>
  <c r="H2" i="1"/>
  <c r="F2" i="1"/>
  <c r="B3" i="1" s="1"/>
  <c r="E2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E3" i="1" l="1"/>
  <c r="F3" i="1" s="1"/>
  <c r="B4" i="1" s="1"/>
  <c r="E4" i="1" l="1"/>
  <c r="F4" i="1" s="1"/>
  <c r="B5" i="1" s="1"/>
  <c r="E5" i="1" s="1"/>
  <c r="F5" i="1" s="1"/>
  <c r="B6" i="1" s="1"/>
  <c r="E6" i="1" l="1"/>
  <c r="F6" i="1" s="1"/>
  <c r="B7" i="1" s="1"/>
  <c r="E7" i="1" l="1"/>
  <c r="F7" i="1" s="1"/>
  <c r="B8" i="1" s="1"/>
  <c r="E8" i="1" l="1"/>
  <c r="F8" i="1" s="1"/>
  <c r="B9" i="1" s="1"/>
  <c r="E9" i="1" s="1"/>
  <c r="F9" i="1" s="1"/>
  <c r="B10" i="1" s="1"/>
  <c r="E10" i="1" s="1"/>
  <c r="F10" i="1" s="1"/>
  <c r="B11" i="1" s="1"/>
  <c r="E11" i="1" s="1"/>
  <c r="F11" i="1" s="1"/>
  <c r="B12" i="1" s="1"/>
  <c r="E12" i="1" s="1"/>
  <c r="F12" i="1" s="1"/>
  <c r="B13" i="1" s="1"/>
  <c r="E13" i="1" s="1"/>
  <c r="F13" i="1" s="1"/>
  <c r="B14" i="1" s="1"/>
  <c r="E14" i="1" s="1"/>
  <c r="F14" i="1" s="1"/>
  <c r="B15" i="1" s="1"/>
  <c r="E15" i="1" l="1"/>
  <c r="F15" i="1" s="1"/>
  <c r="B16" i="1" s="1"/>
  <c r="E16" i="1" l="1"/>
  <c r="F16" i="1" s="1"/>
  <c r="B17" i="1" s="1"/>
  <c r="E17" i="1" l="1"/>
  <c r="F17" i="1" s="1"/>
  <c r="B18" i="1" s="1"/>
  <c r="E18" i="1" l="1"/>
  <c r="F18" i="1" s="1"/>
  <c r="B19" i="1" s="1"/>
  <c r="E19" i="1" l="1"/>
  <c r="F19" i="1" s="1"/>
  <c r="B20" i="1" s="1"/>
  <c r="E20" i="1" l="1"/>
  <c r="F20" i="1" s="1"/>
  <c r="B21" i="1" s="1"/>
  <c r="E21" i="1" l="1"/>
  <c r="F21" i="1" s="1"/>
  <c r="B22" i="1"/>
  <c r="E22" i="1" l="1"/>
  <c r="F22" i="1" s="1"/>
  <c r="B23" i="1" s="1"/>
  <c r="E23" i="1" l="1"/>
  <c r="F23" i="1" s="1"/>
  <c r="B24" i="1" s="1"/>
  <c r="E24" i="1" l="1"/>
  <c r="F24" i="1" s="1"/>
  <c r="B25" i="1" s="1"/>
  <c r="E25" i="1" l="1"/>
  <c r="F25" i="1" s="1"/>
  <c r="B26" i="1" s="1"/>
  <c r="E26" i="1" l="1"/>
  <c r="F26" i="1" s="1"/>
  <c r="B27" i="1" s="1"/>
  <c r="E27" i="1" l="1"/>
  <c r="F27" i="1" s="1"/>
  <c r="B28" i="1" s="1"/>
  <c r="E28" i="1" l="1"/>
  <c r="F28" i="1" s="1"/>
  <c r="B29" i="1" s="1"/>
  <c r="E29" i="1" l="1"/>
  <c r="F29" i="1" s="1"/>
  <c r="B30" i="1" s="1"/>
  <c r="E30" i="1" l="1"/>
  <c r="F30" i="1" s="1"/>
  <c r="B31" i="1" s="1"/>
  <c r="E31" i="1" l="1"/>
  <c r="F31" i="1" s="1"/>
  <c r="B32" i="1" s="1"/>
  <c r="E32" i="1" l="1"/>
  <c r="F32" i="1" s="1"/>
  <c r="B33" i="1" s="1"/>
  <c r="E33" i="1" l="1"/>
  <c r="F33" i="1" s="1"/>
  <c r="B34" i="1" s="1"/>
  <c r="E34" i="1" l="1"/>
  <c r="F34" i="1" s="1"/>
  <c r="B35" i="1" s="1"/>
  <c r="E35" i="1" l="1"/>
  <c r="F35" i="1" s="1"/>
  <c r="B36" i="1" s="1"/>
  <c r="E36" i="1" l="1"/>
  <c r="F36" i="1" s="1"/>
  <c r="B37" i="1" s="1"/>
  <c r="E37" i="1" l="1"/>
  <c r="F37" i="1" s="1"/>
  <c r="B38" i="1" s="1"/>
  <c r="E38" i="1" l="1"/>
  <c r="F38" i="1" s="1"/>
  <c r="B39" i="1" s="1"/>
  <c r="E39" i="1" l="1"/>
  <c r="F39" i="1" s="1"/>
  <c r="B40" i="1" s="1"/>
  <c r="E40" i="1" l="1"/>
  <c r="F40" i="1" s="1"/>
  <c r="B41" i="1" s="1"/>
  <c r="E41" i="1" l="1"/>
  <c r="F41" i="1" s="1"/>
  <c r="B42" i="1" s="1"/>
  <c r="E42" i="1" l="1"/>
  <c r="F42" i="1" s="1"/>
  <c r="B43" i="1" s="1"/>
  <c r="E43" i="1" l="1"/>
  <c r="F43" i="1" s="1"/>
  <c r="B44" i="1" s="1"/>
  <c r="E44" i="1" l="1"/>
  <c r="F44" i="1" s="1"/>
  <c r="B45" i="1" s="1"/>
  <c r="E45" i="1" l="1"/>
  <c r="F45" i="1" s="1"/>
  <c r="B46" i="1" s="1"/>
  <c r="E46" i="1" l="1"/>
  <c r="F46" i="1" s="1"/>
  <c r="B47" i="1" s="1"/>
  <c r="E47" i="1" l="1"/>
  <c r="F47" i="1" s="1"/>
  <c r="B48" i="1" s="1"/>
  <c r="E48" i="1" l="1"/>
  <c r="F48" i="1" s="1"/>
  <c r="B49" i="1" s="1"/>
  <c r="E49" i="1" l="1"/>
  <c r="F49" i="1" s="1"/>
  <c r="B50" i="1"/>
  <c r="E50" i="1" l="1"/>
  <c r="F50" i="1" s="1"/>
  <c r="B51" i="1" s="1"/>
  <c r="E51" i="1" l="1"/>
  <c r="F51" i="1" s="1"/>
  <c r="B52" i="1" s="1"/>
  <c r="E52" i="1" l="1"/>
  <c r="F52" i="1" s="1"/>
  <c r="B53" i="1" s="1"/>
  <c r="E53" i="1" l="1"/>
  <c r="F53" i="1" s="1"/>
  <c r="B54" i="1" s="1"/>
  <c r="E54" i="1" l="1"/>
  <c r="F54" i="1" s="1"/>
  <c r="B55" i="1" s="1"/>
  <c r="E55" i="1" l="1"/>
  <c r="F55" i="1" s="1"/>
  <c r="B56" i="1" s="1"/>
  <c r="E56" i="1" l="1"/>
  <c r="F56" i="1" s="1"/>
  <c r="B57" i="1" s="1"/>
  <c r="E57" i="1" l="1"/>
  <c r="F57" i="1" s="1"/>
  <c r="B58" i="1" s="1"/>
  <c r="E58" i="1" l="1"/>
  <c r="F58" i="1" s="1"/>
  <c r="B59" i="1" s="1"/>
  <c r="E59" i="1" l="1"/>
  <c r="F59" i="1" s="1"/>
  <c r="B60" i="1" s="1"/>
  <c r="E60" i="1" l="1"/>
  <c r="F60" i="1" s="1"/>
  <c r="B61" i="1" s="1"/>
  <c r="E61" i="1" l="1"/>
  <c r="F61" i="1" s="1"/>
  <c r="B62" i="1" s="1"/>
  <c r="E62" i="1" l="1"/>
  <c r="F62" i="1" s="1"/>
  <c r="B63" i="1" s="1"/>
  <c r="E63" i="1" l="1"/>
  <c r="F63" i="1" s="1"/>
  <c r="B64" i="1" s="1"/>
  <c r="E64" i="1" l="1"/>
  <c r="F64" i="1" s="1"/>
  <c r="B65" i="1" s="1"/>
  <c r="E65" i="1" l="1"/>
  <c r="F65" i="1" s="1"/>
  <c r="B66" i="1" s="1"/>
  <c r="E66" i="1" l="1"/>
  <c r="F66" i="1" s="1"/>
  <c r="B67" i="1" s="1"/>
  <c r="E67" i="1" l="1"/>
  <c r="F67" i="1" s="1"/>
  <c r="B68" i="1" s="1"/>
  <c r="E68" i="1" l="1"/>
  <c r="F68" i="1" s="1"/>
  <c r="B69" i="1" s="1"/>
  <c r="E69" i="1" l="1"/>
  <c r="F69" i="1" s="1"/>
  <c r="B70" i="1" s="1"/>
  <c r="E70" i="1" l="1"/>
  <c r="F70" i="1" s="1"/>
  <c r="B71" i="1" s="1"/>
  <c r="E71" i="1" l="1"/>
  <c r="F71" i="1" s="1"/>
  <c r="B72" i="1" s="1"/>
  <c r="E72" i="1" l="1"/>
  <c r="F72" i="1" s="1"/>
  <c r="B73" i="1" s="1"/>
  <c r="E73" i="1" l="1"/>
  <c r="F73" i="1" s="1"/>
  <c r="B74" i="1" s="1"/>
  <c r="E74" i="1" l="1"/>
  <c r="F74" i="1" s="1"/>
  <c r="B75" i="1" s="1"/>
  <c r="E75" i="1" l="1"/>
  <c r="F75" i="1" s="1"/>
  <c r="B76" i="1" s="1"/>
  <c r="E76" i="1" l="1"/>
  <c r="F76" i="1" s="1"/>
  <c r="B77" i="1" s="1"/>
  <c r="E77" i="1" l="1"/>
  <c r="F77" i="1" s="1"/>
  <c r="B78" i="1" s="1"/>
  <c r="E78" i="1" l="1"/>
  <c r="F78" i="1" s="1"/>
  <c r="B79" i="1" s="1"/>
  <c r="E79" i="1" l="1"/>
  <c r="F79" i="1" s="1"/>
  <c r="B80" i="1" s="1"/>
  <c r="E80" i="1" l="1"/>
  <c r="F80" i="1" s="1"/>
  <c r="B81" i="1"/>
  <c r="E81" i="1" l="1"/>
  <c r="F81" i="1" s="1"/>
  <c r="B82" i="1" s="1"/>
  <c r="E82" i="1" l="1"/>
  <c r="F82" i="1" s="1"/>
  <c r="B83" i="1" s="1"/>
  <c r="E83" i="1" l="1"/>
  <c r="F83" i="1" s="1"/>
  <c r="B84" i="1" s="1"/>
  <c r="E84" i="1" l="1"/>
  <c r="F84" i="1" s="1"/>
  <c r="B85" i="1" s="1"/>
  <c r="E85" i="1" l="1"/>
  <c r="F85" i="1" s="1"/>
  <c r="B86" i="1" s="1"/>
  <c r="E86" i="1" l="1"/>
  <c r="F86" i="1" s="1"/>
  <c r="B87" i="1" s="1"/>
  <c r="E87" i="1" l="1"/>
  <c r="F87" i="1" s="1"/>
  <c r="B88" i="1" s="1"/>
  <c r="E88" i="1" l="1"/>
  <c r="F88" i="1" s="1"/>
  <c r="B89" i="1" s="1"/>
  <c r="E89" i="1" l="1"/>
  <c r="F89" i="1" s="1"/>
  <c r="B90" i="1" s="1"/>
  <c r="E90" i="1" l="1"/>
  <c r="F90" i="1" s="1"/>
  <c r="B91" i="1" s="1"/>
  <c r="E91" i="1" l="1"/>
  <c r="F91" i="1" s="1"/>
  <c r="B92" i="1" s="1"/>
  <c r="E92" i="1" l="1"/>
  <c r="F92" i="1" s="1"/>
  <c r="B93" i="1" s="1"/>
  <c r="E93" i="1" l="1"/>
  <c r="F93" i="1" s="1"/>
  <c r="B94" i="1" s="1"/>
  <c r="E94" i="1" l="1"/>
  <c r="F94" i="1" s="1"/>
  <c r="B95" i="1" s="1"/>
  <c r="E95" i="1" l="1"/>
  <c r="F95" i="1" s="1"/>
  <c r="B96" i="1" s="1"/>
  <c r="E96" i="1" l="1"/>
  <c r="F96" i="1" s="1"/>
  <c r="B97" i="1" s="1"/>
  <c r="E97" i="1" l="1"/>
  <c r="F97" i="1" s="1"/>
  <c r="B98" i="1"/>
  <c r="E98" i="1" l="1"/>
  <c r="F98" i="1" s="1"/>
  <c r="B99" i="1"/>
  <c r="E99" i="1" l="1"/>
  <c r="F99" i="1" s="1"/>
  <c r="B100" i="1" s="1"/>
  <c r="E100" i="1" l="1"/>
  <c r="F100" i="1" s="1"/>
  <c r="B101" i="1" s="1"/>
  <c r="E101" i="1" l="1"/>
  <c r="F101" i="1" s="1"/>
  <c r="B102" i="1" s="1"/>
  <c r="E102" i="1" l="1"/>
  <c r="F102" i="1" s="1"/>
  <c r="B103" i="1" s="1"/>
  <c r="E103" i="1" l="1"/>
  <c r="F103" i="1" s="1"/>
  <c r="B104" i="1" s="1"/>
  <c r="E104" i="1" l="1"/>
  <c r="F104" i="1" s="1"/>
  <c r="B105" i="1" s="1"/>
  <c r="E105" i="1" l="1"/>
  <c r="F105" i="1" s="1"/>
  <c r="B106" i="1" s="1"/>
  <c r="E106" i="1" l="1"/>
  <c r="F106" i="1" s="1"/>
  <c r="B107" i="1" s="1"/>
  <c r="E107" i="1" l="1"/>
  <c r="F107" i="1" s="1"/>
  <c r="B108" i="1" s="1"/>
  <c r="E108" i="1" l="1"/>
  <c r="F108" i="1" s="1"/>
  <c r="B109" i="1" s="1"/>
  <c r="E109" i="1" l="1"/>
  <c r="F109" i="1" s="1"/>
  <c r="B110" i="1" s="1"/>
  <c r="E110" i="1" l="1"/>
  <c r="F110" i="1" s="1"/>
  <c r="B111" i="1" s="1"/>
  <c r="E111" i="1" l="1"/>
  <c r="F111" i="1" s="1"/>
  <c r="B112" i="1" s="1"/>
  <c r="E112" i="1" l="1"/>
  <c r="F112" i="1" s="1"/>
  <c r="B113" i="1" s="1"/>
  <c r="E113" i="1" l="1"/>
  <c r="F113" i="1" s="1"/>
  <c r="B114" i="1"/>
  <c r="E114" i="1" l="1"/>
  <c r="F114" i="1" s="1"/>
  <c r="B115" i="1" s="1"/>
  <c r="E115" i="1" l="1"/>
  <c r="F115" i="1" s="1"/>
  <c r="B116" i="1" s="1"/>
  <c r="E116" i="1" l="1"/>
  <c r="F116" i="1" s="1"/>
  <c r="B117" i="1" s="1"/>
  <c r="E117" i="1" l="1"/>
  <c r="F117" i="1" s="1"/>
  <c r="B118" i="1"/>
  <c r="E118" i="1" l="1"/>
  <c r="F118" i="1" s="1"/>
  <c r="B119" i="1" s="1"/>
  <c r="E119" i="1" l="1"/>
  <c r="F119" i="1" s="1"/>
  <c r="B120" i="1"/>
  <c r="E120" i="1" l="1"/>
  <c r="F120" i="1" s="1"/>
  <c r="B121" i="1" s="1"/>
  <c r="E121" i="1" l="1"/>
  <c r="F121" i="1" s="1"/>
  <c r="B122" i="1" s="1"/>
  <c r="E122" i="1" l="1"/>
  <c r="F122" i="1" s="1"/>
  <c r="B123" i="1" s="1"/>
  <c r="E123" i="1" l="1"/>
  <c r="F123" i="1" s="1"/>
  <c r="B124" i="1" s="1"/>
  <c r="E124" i="1" l="1"/>
  <c r="F124" i="1" s="1"/>
  <c r="B125" i="1" s="1"/>
  <c r="E125" i="1" l="1"/>
  <c r="F125" i="1" s="1"/>
  <c r="B126" i="1" s="1"/>
  <c r="E126" i="1" l="1"/>
  <c r="F126" i="1" s="1"/>
  <c r="B127" i="1" s="1"/>
  <c r="E127" i="1" l="1"/>
  <c r="F127" i="1" s="1"/>
  <c r="B128" i="1"/>
  <c r="E128" i="1" l="1"/>
  <c r="F128" i="1" s="1"/>
  <c r="B129" i="1" s="1"/>
  <c r="E129" i="1" l="1"/>
  <c r="F129" i="1" s="1"/>
  <c r="B130" i="1" s="1"/>
  <c r="E130" i="1" l="1"/>
  <c r="F130" i="1" s="1"/>
  <c r="B131" i="1" s="1"/>
  <c r="E131" i="1" l="1"/>
  <c r="F131" i="1" s="1"/>
  <c r="B132" i="1"/>
  <c r="E132" i="1" l="1"/>
  <c r="F132" i="1" s="1"/>
  <c r="B133" i="1" s="1"/>
  <c r="E133" i="1" l="1"/>
  <c r="F133" i="1" s="1"/>
  <c r="B134" i="1"/>
  <c r="E134" i="1" l="1"/>
  <c r="F134" i="1" s="1"/>
  <c r="B135" i="1" s="1"/>
  <c r="E135" i="1" l="1"/>
  <c r="F135" i="1" s="1"/>
  <c r="B136" i="1"/>
  <c r="E136" i="1" l="1"/>
  <c r="F136" i="1" s="1"/>
  <c r="B137" i="1" s="1"/>
  <c r="E137" i="1" l="1"/>
  <c r="F137" i="1" s="1"/>
  <c r="B138" i="1" s="1"/>
  <c r="E138" i="1" l="1"/>
  <c r="F138" i="1" s="1"/>
  <c r="B139" i="1" s="1"/>
  <c r="E139" i="1" l="1"/>
  <c r="F139" i="1" s="1"/>
  <c r="B140" i="1" s="1"/>
  <c r="E140" i="1" l="1"/>
  <c r="F140" i="1" s="1"/>
  <c r="B141" i="1" s="1"/>
  <c r="E141" i="1" l="1"/>
  <c r="F141" i="1" s="1"/>
  <c r="B142" i="1"/>
  <c r="E142" i="1" l="1"/>
  <c r="F142" i="1" s="1"/>
  <c r="B143" i="1" s="1"/>
  <c r="E143" i="1" l="1"/>
  <c r="F143" i="1" s="1"/>
  <c r="B144" i="1"/>
  <c r="E144" i="1" l="1"/>
  <c r="F144" i="1" s="1"/>
  <c r="B145" i="1" s="1"/>
  <c r="E145" i="1" l="1"/>
  <c r="F145" i="1" s="1"/>
  <c r="B146" i="1" s="1"/>
  <c r="E146" i="1" l="1"/>
  <c r="F146" i="1" s="1"/>
  <c r="B147" i="1" s="1"/>
  <c r="E147" i="1" l="1"/>
  <c r="F147" i="1" s="1"/>
  <c r="B148" i="1" s="1"/>
  <c r="E148" i="1" l="1"/>
  <c r="F148" i="1" s="1"/>
  <c r="B149" i="1" s="1"/>
  <c r="E149" i="1" l="1"/>
  <c r="F149" i="1" s="1"/>
  <c r="B150" i="1" s="1"/>
  <c r="E150" i="1" l="1"/>
  <c r="F150" i="1" s="1"/>
  <c r="B151" i="1" s="1"/>
  <c r="E151" i="1" l="1"/>
  <c r="F151" i="1" s="1"/>
  <c r="B152" i="1"/>
  <c r="E152" i="1" l="1"/>
  <c r="F152" i="1" s="1"/>
  <c r="B153" i="1" s="1"/>
  <c r="E153" i="1" l="1"/>
  <c r="F153" i="1" s="1"/>
  <c r="B154" i="1"/>
  <c r="E154" i="1" l="1"/>
  <c r="F154" i="1" s="1"/>
  <c r="B155" i="1" s="1"/>
  <c r="E155" i="1" l="1"/>
  <c r="F155" i="1" s="1"/>
  <c r="B156" i="1"/>
  <c r="E156" i="1" l="1"/>
  <c r="F156" i="1" s="1"/>
  <c r="B157" i="1" s="1"/>
  <c r="E157" i="1" l="1"/>
  <c r="F157" i="1" s="1"/>
  <c r="B158" i="1"/>
  <c r="E158" i="1" l="1"/>
  <c r="F158" i="1" s="1"/>
  <c r="B159" i="1" s="1"/>
  <c r="E159" i="1" l="1"/>
  <c r="F159" i="1" s="1"/>
  <c r="B160" i="1" s="1"/>
  <c r="E160" i="1" l="1"/>
  <c r="F160" i="1" s="1"/>
  <c r="B161" i="1" s="1"/>
  <c r="E161" i="1" l="1"/>
  <c r="F161" i="1" s="1"/>
  <c r="B162" i="1" s="1"/>
  <c r="E162" i="1" l="1"/>
  <c r="F162" i="1" s="1"/>
  <c r="B163" i="1" s="1"/>
  <c r="E163" i="1" l="1"/>
  <c r="F163" i="1" s="1"/>
  <c r="B164" i="1" s="1"/>
  <c r="E164" i="1" l="1"/>
  <c r="F164" i="1" s="1"/>
  <c r="B165" i="1" s="1"/>
  <c r="E165" i="1" l="1"/>
  <c r="F165" i="1" s="1"/>
  <c r="B166" i="1" s="1"/>
  <c r="E166" i="1" l="1"/>
  <c r="F166" i="1" s="1"/>
  <c r="B167" i="1" s="1"/>
  <c r="E167" i="1" l="1"/>
  <c r="F167" i="1" s="1"/>
  <c r="B168" i="1"/>
  <c r="E168" i="1" l="1"/>
  <c r="F168" i="1" s="1"/>
  <c r="B169" i="1" s="1"/>
  <c r="E169" i="1" l="1"/>
  <c r="F169" i="1" s="1"/>
  <c r="B170" i="1" s="1"/>
  <c r="E170" i="1" l="1"/>
  <c r="F170" i="1" s="1"/>
  <c r="B171" i="1" s="1"/>
  <c r="E171" i="1" l="1"/>
  <c r="F171" i="1" s="1"/>
  <c r="B172" i="1" s="1"/>
  <c r="E172" i="1" l="1"/>
  <c r="F172" i="1" s="1"/>
  <c r="B173" i="1" s="1"/>
  <c r="E173" i="1" l="1"/>
  <c r="F173" i="1" s="1"/>
  <c r="B174" i="1" s="1"/>
  <c r="E174" i="1" l="1"/>
  <c r="F174" i="1" s="1"/>
  <c r="B175" i="1" s="1"/>
  <c r="E175" i="1" l="1"/>
  <c r="F175" i="1" s="1"/>
  <c r="B176" i="1"/>
  <c r="E176" i="1" l="1"/>
  <c r="F176" i="1" s="1"/>
  <c r="B177" i="1" s="1"/>
  <c r="E177" i="1" l="1"/>
  <c r="F177" i="1" s="1"/>
  <c r="B178" i="1" s="1"/>
  <c r="E178" i="1" l="1"/>
  <c r="F178" i="1" s="1"/>
  <c r="B179" i="1" s="1"/>
  <c r="E179" i="1" l="1"/>
  <c r="F179" i="1" s="1"/>
  <c r="B180" i="1" s="1"/>
  <c r="E180" i="1" l="1"/>
  <c r="F180" i="1" s="1"/>
  <c r="B181" i="1" s="1"/>
  <c r="E181" i="1" l="1"/>
  <c r="F181" i="1" s="1"/>
  <c r="B182" i="1" s="1"/>
  <c r="E182" i="1" l="1"/>
  <c r="F182" i="1" s="1"/>
  <c r="B183" i="1" s="1"/>
  <c r="E183" i="1" l="1"/>
  <c r="F183" i="1" s="1"/>
  <c r="B184" i="1" s="1"/>
  <c r="E184" i="1" l="1"/>
  <c r="F184" i="1" s="1"/>
  <c r="B185" i="1" s="1"/>
  <c r="E185" i="1" l="1"/>
  <c r="F185" i="1" s="1"/>
  <c r="B186" i="1" s="1"/>
  <c r="E186" i="1" l="1"/>
  <c r="F186" i="1" s="1"/>
  <c r="B187" i="1" s="1"/>
  <c r="E187" i="1" l="1"/>
  <c r="F187" i="1" s="1"/>
  <c r="B188" i="1"/>
  <c r="E188" i="1" l="1"/>
  <c r="F188" i="1" s="1"/>
  <c r="B189" i="1" s="1"/>
  <c r="E189" i="1" l="1"/>
  <c r="F189" i="1" s="1"/>
  <c r="B190" i="1"/>
  <c r="E190" i="1" l="1"/>
  <c r="F190" i="1" s="1"/>
  <c r="B191" i="1" s="1"/>
  <c r="E191" i="1" l="1"/>
  <c r="F191" i="1" s="1"/>
  <c r="B192" i="1" s="1"/>
  <c r="E192" i="1" l="1"/>
  <c r="F192" i="1" s="1"/>
  <c r="B193" i="1" s="1"/>
  <c r="E193" i="1" l="1"/>
  <c r="F193" i="1" s="1"/>
  <c r="B194" i="1"/>
  <c r="E194" i="1" l="1"/>
  <c r="F194" i="1" s="1"/>
  <c r="B195" i="1" s="1"/>
  <c r="E195" i="1" l="1"/>
  <c r="F195" i="1" s="1"/>
  <c r="B196" i="1" s="1"/>
  <c r="E196" i="1" l="1"/>
  <c r="F196" i="1" s="1"/>
  <c r="B197" i="1" s="1"/>
  <c r="E197" i="1" l="1"/>
  <c r="F197" i="1" s="1"/>
  <c r="B198" i="1" s="1"/>
  <c r="E198" i="1" l="1"/>
  <c r="F198" i="1" s="1"/>
  <c r="B199" i="1"/>
  <c r="E199" i="1" l="1"/>
  <c r="F199" i="1" s="1"/>
  <c r="B200" i="1" s="1"/>
  <c r="E200" i="1" l="1"/>
  <c r="F200" i="1" s="1"/>
  <c r="B201" i="1" s="1"/>
  <c r="E201" i="1" l="1"/>
  <c r="F201" i="1" s="1"/>
  <c r="B202" i="1" s="1"/>
  <c r="E202" i="1" l="1"/>
  <c r="F202" i="1" s="1"/>
  <c r="B203" i="1" s="1"/>
  <c r="E203" i="1" l="1"/>
  <c r="F203" i="1" s="1"/>
  <c r="B204" i="1" s="1"/>
  <c r="E204" i="1" l="1"/>
  <c r="F204" i="1" s="1"/>
  <c r="B205" i="1" s="1"/>
  <c r="E205" i="1" l="1"/>
  <c r="F205" i="1" s="1"/>
  <c r="B206" i="1" s="1"/>
  <c r="E206" i="1" l="1"/>
  <c r="F206" i="1" s="1"/>
  <c r="B207" i="1" s="1"/>
  <c r="E207" i="1" l="1"/>
  <c r="F207" i="1" s="1"/>
  <c r="B208" i="1"/>
  <c r="E208" i="1" l="1"/>
  <c r="F208" i="1" s="1"/>
  <c r="B209" i="1" s="1"/>
  <c r="E209" i="1" l="1"/>
  <c r="F209" i="1" s="1"/>
  <c r="B210" i="1" s="1"/>
  <c r="E210" i="1" l="1"/>
  <c r="F210" i="1" s="1"/>
  <c r="B211" i="1" s="1"/>
  <c r="E211" i="1" l="1"/>
  <c r="F211" i="1" s="1"/>
  <c r="B212" i="1" s="1"/>
  <c r="E212" i="1" l="1"/>
  <c r="F212" i="1" s="1"/>
  <c r="B213" i="1" s="1"/>
  <c r="E213" i="1" l="1"/>
  <c r="F213" i="1" s="1"/>
  <c r="B214" i="1"/>
  <c r="E214" i="1" l="1"/>
  <c r="F214" i="1" s="1"/>
  <c r="B215" i="1" s="1"/>
  <c r="E215" i="1" l="1"/>
  <c r="F215" i="1" s="1"/>
  <c r="B216" i="1"/>
  <c r="E216" i="1" l="1"/>
  <c r="F216" i="1" s="1"/>
  <c r="B217" i="1" s="1"/>
  <c r="E217" i="1" l="1"/>
  <c r="F217" i="1" s="1"/>
  <c r="B218" i="1" s="1"/>
  <c r="E218" i="1" l="1"/>
  <c r="F218" i="1" s="1"/>
  <c r="B219" i="1" s="1"/>
  <c r="E219" i="1" l="1"/>
  <c r="F219" i="1" s="1"/>
  <c r="B220" i="1"/>
  <c r="E220" i="1" l="1"/>
  <c r="F220" i="1" s="1"/>
  <c r="B221" i="1" s="1"/>
  <c r="E221" i="1" l="1"/>
  <c r="F221" i="1" s="1"/>
  <c r="B222" i="1"/>
  <c r="E222" i="1" l="1"/>
  <c r="F222" i="1" s="1"/>
  <c r="B223" i="1" s="1"/>
  <c r="E223" i="1" l="1"/>
  <c r="F223" i="1" s="1"/>
  <c r="B224" i="1"/>
  <c r="E224" i="1" l="1"/>
  <c r="F224" i="1" s="1"/>
  <c r="B225" i="1" s="1"/>
  <c r="E225" i="1" l="1"/>
  <c r="F225" i="1" s="1"/>
  <c r="B226" i="1"/>
  <c r="E226" i="1" l="1"/>
  <c r="F226" i="1" s="1"/>
  <c r="B227" i="1" s="1"/>
  <c r="E227" i="1" l="1"/>
  <c r="F227" i="1" s="1"/>
  <c r="B228" i="1" s="1"/>
  <c r="E228" i="1" l="1"/>
  <c r="F228" i="1" s="1"/>
  <c r="B229" i="1" s="1"/>
  <c r="E229" i="1" l="1"/>
  <c r="F229" i="1" s="1"/>
  <c r="B230" i="1" s="1"/>
  <c r="E230" i="1" l="1"/>
  <c r="F230" i="1" s="1"/>
  <c r="B231" i="1" s="1"/>
  <c r="E231" i="1" l="1"/>
  <c r="F231" i="1" s="1"/>
  <c r="B232" i="1"/>
  <c r="E232" i="1" l="1"/>
  <c r="F232" i="1" s="1"/>
  <c r="B233" i="1" s="1"/>
  <c r="E233" i="1" l="1"/>
  <c r="F233" i="1" s="1"/>
  <c r="B234" i="1" s="1"/>
  <c r="E234" i="1" l="1"/>
  <c r="F234" i="1" s="1"/>
  <c r="B235" i="1" s="1"/>
  <c r="E235" i="1" l="1"/>
  <c r="F235" i="1" s="1"/>
  <c r="B236" i="1" s="1"/>
  <c r="E236" i="1" l="1"/>
  <c r="F236" i="1" s="1"/>
  <c r="B237" i="1" s="1"/>
  <c r="E237" i="1" l="1"/>
  <c r="F237" i="1" s="1"/>
  <c r="B238" i="1"/>
  <c r="E238" i="1" l="1"/>
  <c r="F238" i="1" s="1"/>
  <c r="B239" i="1" s="1"/>
  <c r="E239" i="1" l="1"/>
  <c r="F239" i="1" s="1"/>
  <c r="B240" i="1" s="1"/>
  <c r="E240" i="1" l="1"/>
  <c r="F240" i="1" s="1"/>
  <c r="B241" i="1" s="1"/>
  <c r="E241" i="1" l="1"/>
  <c r="F241" i="1" s="1"/>
  <c r="B242" i="1"/>
  <c r="E242" i="1" l="1"/>
  <c r="F242" i="1" s="1"/>
  <c r="B243" i="1" s="1"/>
  <c r="E243" i="1" l="1"/>
  <c r="F243" i="1" s="1"/>
  <c r="B244" i="1"/>
  <c r="E244" i="1" l="1"/>
  <c r="F244" i="1" s="1"/>
  <c r="B245" i="1" s="1"/>
  <c r="E245" i="1" l="1"/>
  <c r="F245" i="1" s="1"/>
  <c r="B246" i="1"/>
  <c r="E246" i="1" l="1"/>
  <c r="F246" i="1" s="1"/>
  <c r="B247" i="1" s="1"/>
  <c r="E247" i="1" l="1"/>
  <c r="F247" i="1" s="1"/>
  <c r="B248" i="1" s="1"/>
  <c r="E248" i="1" l="1"/>
  <c r="F248" i="1" s="1"/>
  <c r="B249" i="1" s="1"/>
  <c r="E249" i="1" l="1"/>
  <c r="F249" i="1" s="1"/>
  <c r="B250" i="1" s="1"/>
  <c r="E250" i="1" l="1"/>
  <c r="F250" i="1" s="1"/>
  <c r="B251" i="1" s="1"/>
  <c r="E251" i="1" l="1"/>
  <c r="F251" i="1" s="1"/>
  <c r="B252" i="1"/>
  <c r="E252" i="1" l="1"/>
  <c r="F252" i="1" s="1"/>
  <c r="B253" i="1" s="1"/>
  <c r="E253" i="1" l="1"/>
  <c r="F253" i="1" s="1"/>
  <c r="B254" i="1"/>
  <c r="E254" i="1" l="1"/>
  <c r="F254" i="1" s="1"/>
  <c r="B255" i="1" s="1"/>
  <c r="E255" i="1" l="1"/>
  <c r="F255" i="1" s="1"/>
  <c r="B256" i="1"/>
  <c r="E256" i="1" l="1"/>
  <c r="F256" i="1" s="1"/>
  <c r="B257" i="1" s="1"/>
  <c r="E257" i="1" l="1"/>
  <c r="F257" i="1" s="1"/>
  <c r="B258" i="1" s="1"/>
  <c r="E258" i="1" l="1"/>
  <c r="F258" i="1" s="1"/>
  <c r="B259" i="1" s="1"/>
  <c r="E259" i="1" l="1"/>
  <c r="F259" i="1" s="1"/>
  <c r="B260" i="1"/>
  <c r="E260" i="1" l="1"/>
  <c r="F260" i="1" s="1"/>
  <c r="B261" i="1" s="1"/>
  <c r="E261" i="1" l="1"/>
  <c r="F261" i="1" s="1"/>
  <c r="B262" i="1"/>
  <c r="E262" i="1" l="1"/>
  <c r="F262" i="1" s="1"/>
  <c r="B263" i="1" s="1"/>
  <c r="E263" i="1" l="1"/>
  <c r="F263" i="1" s="1"/>
  <c r="B264" i="1"/>
  <c r="E264" i="1" l="1"/>
  <c r="F264" i="1" s="1"/>
  <c r="B265" i="1" s="1"/>
  <c r="E265" i="1" l="1"/>
  <c r="F265" i="1" s="1"/>
  <c r="B266" i="1" s="1"/>
  <c r="E266" i="1" l="1"/>
  <c r="F266" i="1" s="1"/>
  <c r="B267" i="1" s="1"/>
  <c r="E267" i="1" l="1"/>
  <c r="F267" i="1" s="1"/>
  <c r="B268" i="1"/>
  <c r="E268" i="1" l="1"/>
  <c r="F268" i="1" s="1"/>
  <c r="B269" i="1" s="1"/>
  <c r="E269" i="1" l="1"/>
  <c r="F269" i="1" s="1"/>
  <c r="B270" i="1" s="1"/>
  <c r="E270" i="1" l="1"/>
  <c r="F270" i="1" s="1"/>
  <c r="B271" i="1" s="1"/>
  <c r="E271" i="1" l="1"/>
  <c r="F271" i="1" s="1"/>
  <c r="B272" i="1" s="1"/>
  <c r="E272" i="1" l="1"/>
  <c r="F272" i="1" s="1"/>
  <c r="B273" i="1" s="1"/>
  <c r="E273" i="1" l="1"/>
  <c r="F273" i="1" s="1"/>
  <c r="B274" i="1" s="1"/>
  <c r="E274" i="1" l="1"/>
  <c r="F274" i="1" s="1"/>
  <c r="B275" i="1" s="1"/>
  <c r="E275" i="1" l="1"/>
  <c r="F275" i="1" s="1"/>
  <c r="B276" i="1" s="1"/>
  <c r="E276" i="1" l="1"/>
  <c r="F276" i="1" s="1"/>
  <c r="B277" i="1" s="1"/>
  <c r="E277" i="1" l="1"/>
  <c r="F277" i="1" s="1"/>
  <c r="B278" i="1"/>
  <c r="E278" i="1" l="1"/>
  <c r="F278" i="1" s="1"/>
  <c r="B279" i="1" s="1"/>
  <c r="E279" i="1" l="1"/>
  <c r="F279" i="1" s="1"/>
  <c r="B280" i="1"/>
  <c r="E280" i="1" l="1"/>
  <c r="F280" i="1" s="1"/>
  <c r="B281" i="1" s="1"/>
  <c r="E281" i="1" l="1"/>
  <c r="F281" i="1" s="1"/>
  <c r="B282" i="1"/>
  <c r="E282" i="1" l="1"/>
  <c r="F282" i="1" s="1"/>
  <c r="B283" i="1" s="1"/>
  <c r="E283" i="1" l="1"/>
  <c r="F283" i="1" s="1"/>
  <c r="B284" i="1" s="1"/>
  <c r="E284" i="1" l="1"/>
  <c r="F284" i="1" s="1"/>
  <c r="B285" i="1" s="1"/>
  <c r="E285" i="1" l="1"/>
  <c r="F285" i="1" s="1"/>
  <c r="B286" i="1"/>
  <c r="E286" i="1" l="1"/>
  <c r="F286" i="1" s="1"/>
  <c r="B287" i="1" s="1"/>
  <c r="E287" i="1" l="1"/>
  <c r="F287" i="1" s="1"/>
  <c r="B288" i="1" s="1"/>
  <c r="E288" i="1" l="1"/>
  <c r="F288" i="1" s="1"/>
  <c r="B289" i="1" s="1"/>
  <c r="E289" i="1" l="1"/>
  <c r="F289" i="1" s="1"/>
  <c r="B290" i="1" s="1"/>
  <c r="E290" i="1" l="1"/>
  <c r="F290" i="1" s="1"/>
  <c r="B291" i="1" s="1"/>
  <c r="E291" i="1" l="1"/>
  <c r="F291" i="1" s="1"/>
  <c r="B292" i="1" s="1"/>
  <c r="E292" i="1" l="1"/>
  <c r="F292" i="1" s="1"/>
  <c r="B293" i="1" s="1"/>
  <c r="E293" i="1" l="1"/>
  <c r="F293" i="1" s="1"/>
  <c r="B294" i="1"/>
  <c r="E294" i="1" l="1"/>
  <c r="F294" i="1" s="1"/>
  <c r="B295" i="1" s="1"/>
  <c r="E295" i="1" l="1"/>
  <c r="F295" i="1" s="1"/>
  <c r="B296" i="1"/>
  <c r="E296" i="1" l="1"/>
  <c r="F296" i="1" s="1"/>
  <c r="B297" i="1" s="1"/>
  <c r="E297" i="1" l="1"/>
  <c r="F297" i="1" s="1"/>
  <c r="B298" i="1"/>
  <c r="E298" i="1" l="1"/>
  <c r="F298" i="1" s="1"/>
  <c r="B299" i="1" s="1"/>
  <c r="E299" i="1" l="1"/>
  <c r="F299" i="1" s="1"/>
  <c r="B300" i="1"/>
  <c r="E300" i="1" l="1"/>
  <c r="F300" i="1" s="1"/>
  <c r="B301" i="1" s="1"/>
  <c r="E301" i="1" l="1"/>
  <c r="F301" i="1" s="1"/>
  <c r="B302" i="1"/>
  <c r="E302" i="1" l="1"/>
  <c r="F302" i="1" s="1"/>
  <c r="B303" i="1" s="1"/>
  <c r="E303" i="1" l="1"/>
  <c r="F303" i="1" s="1"/>
  <c r="B304" i="1" s="1"/>
  <c r="E304" i="1" l="1"/>
  <c r="F304" i="1" s="1"/>
  <c r="B305" i="1" s="1"/>
  <c r="E305" i="1" l="1"/>
  <c r="F305" i="1" s="1"/>
  <c r="B306" i="1"/>
  <c r="E306" i="1" l="1"/>
  <c r="F306" i="1" s="1"/>
  <c r="B307" i="1" s="1"/>
  <c r="E307" i="1" l="1"/>
  <c r="F307" i="1" s="1"/>
  <c r="B308" i="1"/>
  <c r="E308" i="1" l="1"/>
  <c r="F308" i="1" s="1"/>
  <c r="B309" i="1" s="1"/>
  <c r="E309" i="1" l="1"/>
  <c r="F309" i="1" s="1"/>
  <c r="B310" i="1" s="1"/>
  <c r="E310" i="1" l="1"/>
  <c r="F310" i="1" s="1"/>
  <c r="B311" i="1" s="1"/>
  <c r="E311" i="1" l="1"/>
  <c r="F311" i="1" s="1"/>
  <c r="B312" i="1"/>
  <c r="E312" i="1" l="1"/>
  <c r="F312" i="1" s="1"/>
  <c r="B313" i="1" s="1"/>
  <c r="E313" i="1" l="1"/>
  <c r="F313" i="1" s="1"/>
  <c r="B314" i="1"/>
  <c r="E314" i="1" l="1"/>
  <c r="F314" i="1" s="1"/>
  <c r="B315" i="1" s="1"/>
  <c r="E315" i="1" l="1"/>
  <c r="F315" i="1" s="1"/>
  <c r="B316" i="1"/>
  <c r="E316" i="1" l="1"/>
  <c r="F316" i="1" s="1"/>
  <c r="B317" i="1" s="1"/>
  <c r="E317" i="1" l="1"/>
  <c r="F317" i="1" s="1"/>
  <c r="B318" i="1"/>
  <c r="E318" i="1" l="1"/>
  <c r="F318" i="1" s="1"/>
  <c r="B319" i="1" s="1"/>
  <c r="E319" i="1" l="1"/>
  <c r="F319" i="1" s="1"/>
  <c r="B320" i="1" s="1"/>
  <c r="E320" i="1" l="1"/>
  <c r="F320" i="1" s="1"/>
  <c r="B321" i="1" s="1"/>
  <c r="E321" i="1" l="1"/>
  <c r="F321" i="1" s="1"/>
  <c r="B322" i="1" s="1"/>
  <c r="E322" i="1" l="1"/>
  <c r="F322" i="1" s="1"/>
  <c r="B323" i="1" s="1"/>
  <c r="E323" i="1" l="1"/>
  <c r="F323" i="1" s="1"/>
  <c r="B324" i="1"/>
  <c r="E324" i="1" l="1"/>
  <c r="F324" i="1" s="1"/>
  <c r="B325" i="1" s="1"/>
  <c r="E325" i="1" l="1"/>
  <c r="F325" i="1" s="1"/>
  <c r="B326" i="1"/>
  <c r="E326" i="1" l="1"/>
  <c r="F326" i="1" s="1"/>
  <c r="B327" i="1" s="1"/>
  <c r="E327" i="1" l="1"/>
  <c r="F327" i="1" s="1"/>
  <c r="B328" i="1"/>
  <c r="E328" i="1" l="1"/>
  <c r="F328" i="1" s="1"/>
  <c r="B329" i="1" s="1"/>
  <c r="E329" i="1" l="1"/>
  <c r="F329" i="1" s="1"/>
  <c r="B330" i="1"/>
  <c r="E330" i="1" l="1"/>
  <c r="F330" i="1" s="1"/>
  <c r="B331" i="1" s="1"/>
  <c r="E331" i="1" l="1"/>
  <c r="F331" i="1" s="1"/>
  <c r="B332" i="1"/>
  <c r="E332" i="1" l="1"/>
  <c r="F332" i="1" s="1"/>
  <c r="B333" i="1" s="1"/>
  <c r="E333" i="1" l="1"/>
  <c r="F333" i="1" s="1"/>
  <c r="B334" i="1" s="1"/>
  <c r="E334" i="1" l="1"/>
  <c r="F334" i="1" s="1"/>
  <c r="B335" i="1" s="1"/>
  <c r="E335" i="1" l="1"/>
  <c r="F335" i="1" s="1"/>
  <c r="B336" i="1"/>
  <c r="E336" i="1" l="1"/>
  <c r="F336" i="1" s="1"/>
  <c r="B337" i="1" s="1"/>
  <c r="E337" i="1" l="1"/>
  <c r="F337" i="1" s="1"/>
  <c r="B338" i="1" s="1"/>
  <c r="E338" i="1" l="1"/>
  <c r="F338" i="1" s="1"/>
  <c r="B339" i="1" s="1"/>
  <c r="E339" i="1" l="1"/>
  <c r="F339" i="1" s="1"/>
  <c r="B340" i="1" s="1"/>
  <c r="E340" i="1" l="1"/>
  <c r="F340" i="1" s="1"/>
  <c r="B341" i="1" s="1"/>
  <c r="E341" i="1" l="1"/>
  <c r="F341" i="1" s="1"/>
  <c r="B342" i="1"/>
  <c r="E342" i="1" l="1"/>
  <c r="F342" i="1" s="1"/>
  <c r="B343" i="1" s="1"/>
  <c r="E343" i="1" l="1"/>
  <c r="F343" i="1" s="1"/>
  <c r="B344" i="1" s="1"/>
  <c r="E344" i="1" l="1"/>
  <c r="F344" i="1" s="1"/>
  <c r="B345" i="1" s="1"/>
  <c r="E345" i="1" l="1"/>
  <c r="F345" i="1" s="1"/>
  <c r="B346" i="1"/>
  <c r="E346" i="1" l="1"/>
  <c r="F346" i="1" s="1"/>
  <c r="B347" i="1" s="1"/>
  <c r="E347" i="1" l="1"/>
  <c r="F347" i="1" s="1"/>
  <c r="B348" i="1" s="1"/>
  <c r="E348" i="1" l="1"/>
  <c r="F348" i="1" s="1"/>
  <c r="B349" i="1" s="1"/>
  <c r="E349" i="1" l="1"/>
  <c r="F349" i="1" s="1"/>
  <c r="B350" i="1"/>
  <c r="E350" i="1" l="1"/>
  <c r="F350" i="1" s="1"/>
  <c r="B351" i="1" s="1"/>
  <c r="E351" i="1" l="1"/>
  <c r="F351" i="1" s="1"/>
  <c r="B352" i="1"/>
  <c r="E352" i="1" l="1"/>
  <c r="F352" i="1" s="1"/>
  <c r="B353" i="1" s="1"/>
  <c r="E353" i="1" l="1"/>
  <c r="F353" i="1" s="1"/>
  <c r="B354" i="1" s="1"/>
  <c r="E354" i="1" l="1"/>
  <c r="F354" i="1" s="1"/>
  <c r="B355" i="1" s="1"/>
  <c r="E355" i="1" l="1"/>
  <c r="F355" i="1" s="1"/>
  <c r="B356" i="1" s="1"/>
  <c r="E356" i="1" l="1"/>
  <c r="F356" i="1" s="1"/>
  <c r="B357" i="1" s="1"/>
  <c r="E357" i="1" l="1"/>
  <c r="F357" i="1" s="1"/>
  <c r="B358" i="1" s="1"/>
  <c r="E358" i="1" l="1"/>
  <c r="F358" i="1" s="1"/>
  <c r="B359" i="1" s="1"/>
  <c r="E359" i="1" l="1"/>
  <c r="F359" i="1" s="1"/>
  <c r="B360" i="1"/>
  <c r="E360" i="1" l="1"/>
  <c r="F360" i="1" s="1"/>
  <c r="B361" i="1" s="1"/>
  <c r="F361" i="1" s="1"/>
  <c r="I2" i="1" s="1"/>
</calcChain>
</file>

<file path=xl/sharedStrings.xml><?xml version="1.0" encoding="utf-8"?>
<sst xmlns="http://schemas.openxmlformats.org/spreadsheetml/2006/main" count="30" uniqueCount="16">
  <si>
    <t>Date</t>
  </si>
  <si>
    <t>Interest Rate</t>
  </si>
  <si>
    <t>Loan Amount</t>
  </si>
  <si>
    <t>Payment</t>
  </si>
  <si>
    <t>Interest Paid</t>
  </si>
  <si>
    <t>Principal Paid</t>
  </si>
  <si>
    <t>Total Interest</t>
  </si>
  <si>
    <t>Total Principal</t>
  </si>
  <si>
    <t>Total Spent</t>
  </si>
  <si>
    <t>Additional Principle</t>
  </si>
  <si>
    <t>Exclude Additional Principle</t>
  </si>
  <si>
    <t>Include Additional Principle</t>
  </si>
  <si>
    <t>Interest Expense</t>
  </si>
  <si>
    <t># Months of Payment</t>
  </si>
  <si>
    <t># Years of Payment</t>
  </si>
  <si>
    <t>Additional Principle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</si>
</sst>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%"/>
    <numFmt numFmtId="171" formatCode="_(* #,##0_);_(* \(#,##0\);_(* &quot;-&quot;??_);_(@_)"/>
  </numFmts>
  <fonts count="3" x14ac:knownFonts="1">
    <font>
      <sz val="11"/>
      <color theme="1"/>
      <name val="Verdana"/>
      <family val="2"/>
    </font>
    <font>
      <b/>
      <sz val="11"/>
      <color theme="1"/>
      <name val="Verdana"/>
      <family val="2"/>
    </font>
    <font>
      <sz val="11"/>
      <color rgb="FFFFFFFF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183C5C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43" fontId="0" fillId="0" borderId="0" xfId="0" applyNumberFormat="1"/>
    <xf numFmtId="164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43" fontId="0" fillId="3" borderId="0" xfId="0" applyNumberFormat="1" applyFill="1"/>
    <xf numFmtId="14" fontId="0" fillId="3" borderId="0" xfId="0" applyNumberFormat="1" applyFill="1"/>
    <xf numFmtId="14" fontId="0" fillId="0" borderId="0" xfId="0" applyNumberFormat="1" applyFill="1"/>
    <xf numFmtId="43" fontId="0" fillId="0" borderId="0" xfId="0" applyNumberFormat="1" applyFill="1"/>
    <xf numFmtId="0" fontId="1" fillId="0" borderId="0" xfId="0" applyFont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4</xdr:row>
          <xdr:rowOff>66675</xdr:rowOff>
        </xdr:from>
        <xdr:to>
          <xdr:col>1</xdr:col>
          <xdr:colOff>990600</xdr:colOff>
          <xdr:row>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Calculate Mortgage Interest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36F0-1196-43C6-B499-AF8D255AFDD3}">
  <sheetPr codeName="Sheet1"/>
  <dimension ref="A1:J36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9.296875" bestFit="1" customWidth="1"/>
    <col min="2" max="2" width="11.296875" bestFit="1" customWidth="1"/>
    <col min="3" max="3" width="10.59765625" bestFit="1" customWidth="1"/>
    <col min="4" max="4" width="7.796875" bestFit="1" customWidth="1"/>
    <col min="5" max="5" width="10.19921875" bestFit="1" customWidth="1"/>
    <col min="6" max="6" width="10.296875" bestFit="1" customWidth="1"/>
    <col min="8" max="8" width="10.8984375" bestFit="1" customWidth="1"/>
    <col min="9" max="10" width="11.296875" bestFit="1" customWidth="1"/>
  </cols>
  <sheetData>
    <row r="1" spans="1:10" x14ac:dyDescent="0.2">
      <c r="A1" s="5" t="s">
        <v>0</v>
      </c>
      <c r="B1" s="5" t="s">
        <v>2</v>
      </c>
      <c r="C1" s="5" t="s">
        <v>1</v>
      </c>
      <c r="D1" s="5" t="s">
        <v>3</v>
      </c>
      <c r="E1" s="5" t="s">
        <v>4</v>
      </c>
      <c r="F1" s="5" t="s">
        <v>5</v>
      </c>
      <c r="H1" s="4" t="s">
        <v>6</v>
      </c>
      <c r="I1" s="4" t="s">
        <v>7</v>
      </c>
      <c r="J1" s="4" t="s">
        <v>8</v>
      </c>
    </row>
    <row r="2" spans="1:10" x14ac:dyDescent="0.2">
      <c r="A2" s="1">
        <v>44228</v>
      </c>
      <c r="B2" s="2">
        <v>170000</v>
      </c>
      <c r="C2" s="3">
        <v>2.6249999999999999E-2</v>
      </c>
      <c r="D2" s="2">
        <v>682.81</v>
      </c>
      <c r="E2" s="2">
        <f>B2*(C2/12)</f>
        <v>371.87499999999994</v>
      </c>
      <c r="F2" s="2">
        <f>+D2-E2</f>
        <v>310.935</v>
      </c>
      <c r="H2" s="2">
        <f>SUM(E:E)</f>
        <v>75807.874362825154</v>
      </c>
      <c r="I2" s="2">
        <f>SUM(F:F)</f>
        <v>169999.99999999962</v>
      </c>
      <c r="J2" s="2">
        <f>SUM(H2:I2)</f>
        <v>245807.87436282478</v>
      </c>
    </row>
    <row r="3" spans="1:10" x14ac:dyDescent="0.2">
      <c r="A3" s="1">
        <f>DATE(YEAR(A2),MONTH(A2)+1,1)</f>
        <v>44256</v>
      </c>
      <c r="B3" s="2">
        <f>B2-F2</f>
        <v>169689.065</v>
      </c>
      <c r="C3" s="3">
        <v>2.6249999999999999E-2</v>
      </c>
      <c r="D3" s="2">
        <v>682.81</v>
      </c>
      <c r="E3" s="2">
        <f>B3*(C3/12)</f>
        <v>371.19482968749998</v>
      </c>
      <c r="F3" s="2">
        <f>+D3-E3</f>
        <v>311.61517031249997</v>
      </c>
    </row>
    <row r="4" spans="1:10" x14ac:dyDescent="0.2">
      <c r="A4" s="1">
        <f t="shared" ref="A4:A8" si="0">DATE(YEAR(A3),MONTH(A3)+1,1)</f>
        <v>44287</v>
      </c>
      <c r="B4" s="2">
        <f t="shared" ref="B4:B8" si="1">B3-F3</f>
        <v>169377.44982968751</v>
      </c>
      <c r="C4" s="3">
        <v>2.6249999999999999E-2</v>
      </c>
      <c r="D4" s="2">
        <v>682.81</v>
      </c>
      <c r="E4" s="2">
        <f t="shared" ref="E4:E8" si="2">B4*(C4/12)</f>
        <v>370.51317150244137</v>
      </c>
      <c r="F4" s="2">
        <f t="shared" ref="F4:F8" si="3">+D4-E4</f>
        <v>312.29682849755858</v>
      </c>
    </row>
    <row r="5" spans="1:10" x14ac:dyDescent="0.2">
      <c r="A5" s="1">
        <f t="shared" si="0"/>
        <v>44317</v>
      </c>
      <c r="B5" s="2">
        <f t="shared" si="1"/>
        <v>169065.15300118996</v>
      </c>
      <c r="C5" s="3">
        <v>2.6249999999999999E-2</v>
      </c>
      <c r="D5" s="2">
        <v>682.81</v>
      </c>
      <c r="E5" s="2">
        <f t="shared" si="2"/>
        <v>369.83002219010302</v>
      </c>
      <c r="F5" s="2">
        <f t="shared" si="3"/>
        <v>312.97997780989692</v>
      </c>
    </row>
    <row r="6" spans="1:10" x14ac:dyDescent="0.2">
      <c r="A6" s="1">
        <f t="shared" si="0"/>
        <v>44348</v>
      </c>
      <c r="B6" s="2">
        <f t="shared" si="1"/>
        <v>168752.17302338005</v>
      </c>
      <c r="C6" s="3">
        <v>2.6249999999999999E-2</v>
      </c>
      <c r="D6" s="2">
        <v>682.81</v>
      </c>
      <c r="E6" s="2">
        <f t="shared" si="2"/>
        <v>369.14537848864381</v>
      </c>
      <c r="F6" s="2">
        <f t="shared" si="3"/>
        <v>313.66462151135613</v>
      </c>
    </row>
    <row r="7" spans="1:10" x14ac:dyDescent="0.2">
      <c r="A7" s="1">
        <f t="shared" si="0"/>
        <v>44378</v>
      </c>
      <c r="B7" s="2">
        <f t="shared" si="1"/>
        <v>168438.50840186869</v>
      </c>
      <c r="C7" s="3">
        <v>2.6249999999999999E-2</v>
      </c>
      <c r="D7" s="2">
        <v>682.81</v>
      </c>
      <c r="E7" s="2">
        <f t="shared" si="2"/>
        <v>368.45923712908774</v>
      </c>
      <c r="F7" s="2">
        <f t="shared" si="3"/>
        <v>314.35076287091221</v>
      </c>
    </row>
    <row r="8" spans="1:10" x14ac:dyDescent="0.2">
      <c r="A8" s="1">
        <f t="shared" si="0"/>
        <v>44409</v>
      </c>
      <c r="B8" s="2">
        <f t="shared" si="1"/>
        <v>168124.15763899777</v>
      </c>
      <c r="C8" s="3">
        <v>2.6249999999999999E-2</v>
      </c>
      <c r="D8" s="2">
        <v>682.81</v>
      </c>
      <c r="E8" s="2">
        <f t="shared" si="2"/>
        <v>367.77159483530761</v>
      </c>
      <c r="F8" s="2">
        <f t="shared" si="3"/>
        <v>315.03840516469234</v>
      </c>
    </row>
    <row r="9" spans="1:10" x14ac:dyDescent="0.2">
      <c r="A9" s="1">
        <f t="shared" ref="A9:A72" si="4">DATE(YEAR(A8),MONTH(A8)+1,1)</f>
        <v>44440</v>
      </c>
      <c r="B9" s="2">
        <f t="shared" ref="B9:B72" si="5">B8-F8</f>
        <v>167809.11923383307</v>
      </c>
      <c r="C9" s="3">
        <v>2.6249999999999999E-2</v>
      </c>
      <c r="D9" s="2">
        <v>682.81</v>
      </c>
      <c r="E9" s="2">
        <f t="shared" ref="E9:E72" si="6">B9*(C9/12)</f>
        <v>367.08244832400982</v>
      </c>
      <c r="F9" s="2">
        <f t="shared" ref="F9:F72" si="7">+D9-E9</f>
        <v>315.72755167599013</v>
      </c>
    </row>
    <row r="10" spans="1:10" x14ac:dyDescent="0.2">
      <c r="A10" s="1">
        <f t="shared" si="4"/>
        <v>44470</v>
      </c>
      <c r="B10" s="2">
        <f t="shared" si="5"/>
        <v>167493.39168215709</v>
      </c>
      <c r="C10" s="3">
        <v>2.6249999999999999E-2</v>
      </c>
      <c r="D10" s="2">
        <v>682.81</v>
      </c>
      <c r="E10" s="2">
        <f t="shared" si="6"/>
        <v>366.39179430471859</v>
      </c>
      <c r="F10" s="2">
        <f t="shared" si="7"/>
        <v>316.41820569528136</v>
      </c>
    </row>
    <row r="11" spans="1:10" x14ac:dyDescent="0.2">
      <c r="A11" s="1">
        <f t="shared" si="4"/>
        <v>44501</v>
      </c>
      <c r="B11" s="2">
        <f t="shared" si="5"/>
        <v>167176.9734764618</v>
      </c>
      <c r="C11" s="3">
        <v>2.6249999999999999E-2</v>
      </c>
      <c r="D11" s="2">
        <v>682.81</v>
      </c>
      <c r="E11" s="2">
        <f t="shared" si="6"/>
        <v>365.69962947976018</v>
      </c>
      <c r="F11" s="2">
        <f t="shared" si="7"/>
        <v>317.11037052023977</v>
      </c>
    </row>
    <row r="12" spans="1:10" x14ac:dyDescent="0.2">
      <c r="A12" s="1">
        <f t="shared" si="4"/>
        <v>44531</v>
      </c>
      <c r="B12" s="2">
        <f t="shared" si="5"/>
        <v>166859.86310594156</v>
      </c>
      <c r="C12" s="3">
        <v>2.6249999999999999E-2</v>
      </c>
      <c r="D12" s="2">
        <v>682.81</v>
      </c>
      <c r="E12" s="2">
        <f t="shared" si="6"/>
        <v>365.00595054424713</v>
      </c>
      <c r="F12" s="2">
        <f t="shared" si="7"/>
        <v>317.80404945575282</v>
      </c>
    </row>
    <row r="13" spans="1:10" x14ac:dyDescent="0.2">
      <c r="A13" s="1">
        <f t="shared" si="4"/>
        <v>44562</v>
      </c>
      <c r="B13" s="2">
        <f t="shared" si="5"/>
        <v>166542.0590564858</v>
      </c>
      <c r="C13" s="3">
        <v>2.6249999999999999E-2</v>
      </c>
      <c r="D13" s="2">
        <v>682.81</v>
      </c>
      <c r="E13" s="2">
        <f t="shared" si="6"/>
        <v>364.31075418606264</v>
      </c>
      <c r="F13" s="2">
        <f t="shared" si="7"/>
        <v>318.49924581393731</v>
      </c>
    </row>
    <row r="14" spans="1:10" x14ac:dyDescent="0.2">
      <c r="A14" s="1">
        <f t="shared" si="4"/>
        <v>44593</v>
      </c>
      <c r="B14" s="2">
        <f t="shared" si="5"/>
        <v>166223.55981067187</v>
      </c>
      <c r="C14" s="3">
        <v>2.6249999999999999E-2</v>
      </c>
      <c r="D14" s="2">
        <v>682.81</v>
      </c>
      <c r="E14" s="2">
        <f t="shared" si="6"/>
        <v>363.6140370858447</v>
      </c>
      <c r="F14" s="2">
        <f t="shared" si="7"/>
        <v>319.19596291415525</v>
      </c>
    </row>
    <row r="15" spans="1:10" x14ac:dyDescent="0.2">
      <c r="A15" s="1">
        <f t="shared" si="4"/>
        <v>44621</v>
      </c>
      <c r="B15" s="2">
        <f t="shared" si="5"/>
        <v>165904.36384775772</v>
      </c>
      <c r="C15" s="3">
        <v>2.6249999999999999E-2</v>
      </c>
      <c r="D15" s="2">
        <v>682.81</v>
      </c>
      <c r="E15" s="2">
        <f t="shared" si="6"/>
        <v>362.91579591696996</v>
      </c>
      <c r="F15" s="2">
        <f t="shared" si="7"/>
        <v>319.89420408302999</v>
      </c>
    </row>
    <row r="16" spans="1:10" x14ac:dyDescent="0.2">
      <c r="A16" s="1">
        <f t="shared" si="4"/>
        <v>44652</v>
      </c>
      <c r="B16" s="2">
        <f t="shared" si="5"/>
        <v>165584.46964367467</v>
      </c>
      <c r="C16" s="3">
        <v>2.6249999999999999E-2</v>
      </c>
      <c r="D16" s="2">
        <v>682.81</v>
      </c>
      <c r="E16" s="2">
        <f t="shared" si="6"/>
        <v>362.21602734553829</v>
      </c>
      <c r="F16" s="2">
        <f t="shared" si="7"/>
        <v>320.59397265446165</v>
      </c>
    </row>
    <row r="17" spans="1:6" x14ac:dyDescent="0.2">
      <c r="A17" s="1">
        <f t="shared" si="4"/>
        <v>44682</v>
      </c>
      <c r="B17" s="2">
        <f t="shared" si="5"/>
        <v>165263.87567102021</v>
      </c>
      <c r="C17" s="3">
        <v>2.6249999999999999E-2</v>
      </c>
      <c r="D17" s="2">
        <v>682.81</v>
      </c>
      <c r="E17" s="2">
        <f t="shared" si="6"/>
        <v>361.51472803035671</v>
      </c>
      <c r="F17" s="2">
        <f t="shared" si="7"/>
        <v>321.29527196964324</v>
      </c>
    </row>
    <row r="18" spans="1:6" x14ac:dyDescent="0.2">
      <c r="A18" s="1">
        <f t="shared" si="4"/>
        <v>44713</v>
      </c>
      <c r="B18" s="2">
        <f t="shared" si="5"/>
        <v>164942.58039905058</v>
      </c>
      <c r="C18" s="3">
        <v>2.6249999999999999E-2</v>
      </c>
      <c r="D18" s="2">
        <v>682.81</v>
      </c>
      <c r="E18" s="2">
        <f t="shared" si="6"/>
        <v>360.81189462292309</v>
      </c>
      <c r="F18" s="2">
        <f t="shared" si="7"/>
        <v>321.99810537707685</v>
      </c>
    </row>
    <row r="19" spans="1:6" x14ac:dyDescent="0.2">
      <c r="A19" s="1">
        <f t="shared" si="4"/>
        <v>44743</v>
      </c>
      <c r="B19" s="2">
        <f t="shared" si="5"/>
        <v>164620.58229367351</v>
      </c>
      <c r="C19" s="3">
        <v>2.6249999999999999E-2</v>
      </c>
      <c r="D19" s="2">
        <v>682.81</v>
      </c>
      <c r="E19" s="2">
        <f t="shared" si="6"/>
        <v>360.10752376741078</v>
      </c>
      <c r="F19" s="2">
        <f t="shared" si="7"/>
        <v>322.70247623258916</v>
      </c>
    </row>
    <row r="20" spans="1:6" x14ac:dyDescent="0.2">
      <c r="A20" s="1">
        <f t="shared" si="4"/>
        <v>44774</v>
      </c>
      <c r="B20" s="2">
        <f t="shared" si="5"/>
        <v>164297.8798174409</v>
      </c>
      <c r="C20" s="3">
        <v>2.6249999999999999E-2</v>
      </c>
      <c r="D20" s="2">
        <v>682.81</v>
      </c>
      <c r="E20" s="2">
        <f t="shared" si="6"/>
        <v>359.40161210065196</v>
      </c>
      <c r="F20" s="2">
        <f t="shared" si="7"/>
        <v>323.40838789934799</v>
      </c>
    </row>
    <row r="21" spans="1:6" x14ac:dyDescent="0.2">
      <c r="A21" s="1">
        <f t="shared" si="4"/>
        <v>44805</v>
      </c>
      <c r="B21" s="2">
        <f t="shared" si="5"/>
        <v>163974.47142954156</v>
      </c>
      <c r="C21" s="3">
        <v>2.6249999999999999E-2</v>
      </c>
      <c r="D21" s="2">
        <v>682.81</v>
      </c>
      <c r="E21" s="2">
        <f t="shared" si="6"/>
        <v>358.69415625212213</v>
      </c>
      <c r="F21" s="2">
        <f t="shared" si="7"/>
        <v>324.11584374787782</v>
      </c>
    </row>
    <row r="22" spans="1:6" x14ac:dyDescent="0.2">
      <c r="A22" s="1">
        <f t="shared" si="4"/>
        <v>44835</v>
      </c>
      <c r="B22" s="2">
        <f t="shared" si="5"/>
        <v>163650.35558579367</v>
      </c>
      <c r="C22" s="3">
        <v>2.6249999999999999E-2</v>
      </c>
      <c r="D22" s="2">
        <v>682.81</v>
      </c>
      <c r="E22" s="2">
        <f t="shared" si="6"/>
        <v>357.98515284392363</v>
      </c>
      <c r="F22" s="2">
        <f t="shared" si="7"/>
        <v>324.82484715607632</v>
      </c>
    </row>
    <row r="23" spans="1:6" x14ac:dyDescent="0.2">
      <c r="A23" s="1">
        <f t="shared" si="4"/>
        <v>44866</v>
      </c>
      <c r="B23" s="2">
        <f t="shared" si="5"/>
        <v>163325.53073863761</v>
      </c>
      <c r="C23" s="3">
        <v>2.6249999999999999E-2</v>
      </c>
      <c r="D23" s="2">
        <v>682.81</v>
      </c>
      <c r="E23" s="2">
        <f t="shared" si="6"/>
        <v>357.27459849076973</v>
      </c>
      <c r="F23" s="2">
        <f t="shared" si="7"/>
        <v>325.53540150923021</v>
      </c>
    </row>
    <row r="24" spans="1:6" x14ac:dyDescent="0.2">
      <c r="A24" s="1">
        <f t="shared" si="4"/>
        <v>44896</v>
      </c>
      <c r="B24" s="2">
        <f t="shared" si="5"/>
        <v>162999.99533712838</v>
      </c>
      <c r="C24" s="3">
        <v>2.6249999999999999E-2</v>
      </c>
      <c r="D24" s="2">
        <v>682.81</v>
      </c>
      <c r="E24" s="2">
        <f t="shared" si="6"/>
        <v>356.56248979996826</v>
      </c>
      <c r="F24" s="2">
        <f t="shared" si="7"/>
        <v>326.24751020003168</v>
      </c>
    </row>
    <row r="25" spans="1:6" x14ac:dyDescent="0.2">
      <c r="A25" s="1">
        <f t="shared" si="4"/>
        <v>44927</v>
      </c>
      <c r="B25" s="2">
        <f t="shared" si="5"/>
        <v>162673.74782692833</v>
      </c>
      <c r="C25" s="3">
        <v>2.6249999999999999E-2</v>
      </c>
      <c r="D25" s="2">
        <v>682.81</v>
      </c>
      <c r="E25" s="2">
        <f t="shared" si="6"/>
        <v>355.84882337140567</v>
      </c>
      <c r="F25" s="2">
        <f t="shared" si="7"/>
        <v>326.96117662859427</v>
      </c>
    </row>
    <row r="26" spans="1:6" x14ac:dyDescent="0.2">
      <c r="A26" s="1">
        <f t="shared" si="4"/>
        <v>44958</v>
      </c>
      <c r="B26" s="2">
        <f t="shared" si="5"/>
        <v>162346.78665029973</v>
      </c>
      <c r="C26" s="3">
        <v>2.6249999999999999E-2</v>
      </c>
      <c r="D26" s="2">
        <v>682.81</v>
      </c>
      <c r="E26" s="2">
        <f t="shared" si="6"/>
        <v>355.13359579753063</v>
      </c>
      <c r="F26" s="2">
        <f t="shared" si="7"/>
        <v>327.67640420246931</v>
      </c>
    </row>
    <row r="27" spans="1:6" x14ac:dyDescent="0.2">
      <c r="A27" s="1">
        <f t="shared" si="4"/>
        <v>44986</v>
      </c>
      <c r="B27" s="2">
        <f t="shared" si="5"/>
        <v>162019.11024609726</v>
      </c>
      <c r="C27" s="3">
        <v>2.6249999999999999E-2</v>
      </c>
      <c r="D27" s="2">
        <v>682.81</v>
      </c>
      <c r="E27" s="2">
        <f t="shared" si="6"/>
        <v>354.4168036633377</v>
      </c>
      <c r="F27" s="2">
        <f t="shared" si="7"/>
        <v>328.39319633666224</v>
      </c>
    </row>
    <row r="28" spans="1:6" x14ac:dyDescent="0.2">
      <c r="A28" s="1">
        <f t="shared" si="4"/>
        <v>45017</v>
      </c>
      <c r="B28" s="2">
        <f t="shared" si="5"/>
        <v>161690.7170497606</v>
      </c>
      <c r="C28" s="3">
        <v>2.6249999999999999E-2</v>
      </c>
      <c r="D28" s="2">
        <v>682.81</v>
      </c>
      <c r="E28" s="2">
        <f t="shared" si="6"/>
        <v>353.69844354635126</v>
      </c>
      <c r="F28" s="2">
        <f t="shared" si="7"/>
        <v>329.11155645364869</v>
      </c>
    </row>
    <row r="29" spans="1:6" x14ac:dyDescent="0.2">
      <c r="A29" s="1">
        <f t="shared" si="4"/>
        <v>45047</v>
      </c>
      <c r="B29" s="2">
        <f t="shared" si="5"/>
        <v>161361.60549330694</v>
      </c>
      <c r="C29" s="3">
        <v>2.6249999999999999E-2</v>
      </c>
      <c r="D29" s="2">
        <v>682.81</v>
      </c>
      <c r="E29" s="2">
        <f t="shared" si="6"/>
        <v>352.97851201660887</v>
      </c>
      <c r="F29" s="2">
        <f t="shared" si="7"/>
        <v>329.83148798339107</v>
      </c>
    </row>
    <row r="30" spans="1:6" x14ac:dyDescent="0.2">
      <c r="A30" s="1">
        <f t="shared" si="4"/>
        <v>45078</v>
      </c>
      <c r="B30" s="2">
        <f t="shared" si="5"/>
        <v>161031.77400532356</v>
      </c>
      <c r="C30" s="3">
        <v>2.6249999999999999E-2</v>
      </c>
      <c r="D30" s="2">
        <v>682.81</v>
      </c>
      <c r="E30" s="2">
        <f t="shared" si="6"/>
        <v>352.25700563664526</v>
      </c>
      <c r="F30" s="2">
        <f t="shared" si="7"/>
        <v>330.55299436335468</v>
      </c>
    </row>
    <row r="31" spans="1:6" x14ac:dyDescent="0.2">
      <c r="A31" s="1">
        <f t="shared" si="4"/>
        <v>45108</v>
      </c>
      <c r="B31" s="2">
        <f t="shared" si="5"/>
        <v>160701.2210109602</v>
      </c>
      <c r="C31" s="3">
        <v>2.6249999999999999E-2</v>
      </c>
      <c r="D31" s="2">
        <v>682.81</v>
      </c>
      <c r="E31" s="2">
        <f t="shared" si="6"/>
        <v>351.53392096147542</v>
      </c>
      <c r="F31" s="2">
        <f t="shared" si="7"/>
        <v>331.27607903852453</v>
      </c>
    </row>
    <row r="32" spans="1:6" x14ac:dyDescent="0.2">
      <c r="A32" s="1">
        <f t="shared" si="4"/>
        <v>45139</v>
      </c>
      <c r="B32" s="2">
        <f t="shared" si="5"/>
        <v>160369.94493192167</v>
      </c>
      <c r="C32" s="3">
        <v>2.6249999999999999E-2</v>
      </c>
      <c r="D32" s="2">
        <v>682.81</v>
      </c>
      <c r="E32" s="2">
        <f t="shared" si="6"/>
        <v>350.80925453857861</v>
      </c>
      <c r="F32" s="2">
        <f t="shared" si="7"/>
        <v>332.00074546142133</v>
      </c>
    </row>
    <row r="33" spans="1:6" x14ac:dyDescent="0.2">
      <c r="A33" s="1">
        <f t="shared" si="4"/>
        <v>45170</v>
      </c>
      <c r="B33" s="2">
        <f t="shared" si="5"/>
        <v>160037.94418646026</v>
      </c>
      <c r="C33" s="3">
        <v>2.6249999999999999E-2</v>
      </c>
      <c r="D33" s="2">
        <v>682.81</v>
      </c>
      <c r="E33" s="2">
        <f t="shared" si="6"/>
        <v>350.08300290788179</v>
      </c>
      <c r="F33" s="2">
        <f t="shared" si="7"/>
        <v>332.72699709211815</v>
      </c>
    </row>
    <row r="34" spans="1:6" x14ac:dyDescent="0.2">
      <c r="A34" s="1">
        <f t="shared" si="4"/>
        <v>45200</v>
      </c>
      <c r="B34" s="2">
        <f t="shared" si="5"/>
        <v>159705.21718936815</v>
      </c>
      <c r="C34" s="3">
        <v>2.6249999999999999E-2</v>
      </c>
      <c r="D34" s="2">
        <v>682.81</v>
      </c>
      <c r="E34" s="2">
        <f t="shared" si="6"/>
        <v>349.35516260174279</v>
      </c>
      <c r="F34" s="2">
        <f t="shared" si="7"/>
        <v>333.45483739825715</v>
      </c>
    </row>
    <row r="35" spans="1:6" x14ac:dyDescent="0.2">
      <c r="A35" s="1">
        <f t="shared" si="4"/>
        <v>45231</v>
      </c>
      <c r="B35" s="2">
        <f t="shared" si="5"/>
        <v>159371.7623519699</v>
      </c>
      <c r="C35" s="3">
        <v>2.6249999999999999E-2</v>
      </c>
      <c r="D35" s="2">
        <v>682.81</v>
      </c>
      <c r="E35" s="2">
        <f t="shared" si="6"/>
        <v>348.6257301449341</v>
      </c>
      <c r="F35" s="2">
        <f t="shared" si="7"/>
        <v>334.18426985506585</v>
      </c>
    </row>
    <row r="36" spans="1:6" x14ac:dyDescent="0.2">
      <c r="A36" s="1">
        <f t="shared" si="4"/>
        <v>45261</v>
      </c>
      <c r="B36" s="2">
        <f t="shared" si="5"/>
        <v>159037.57808211484</v>
      </c>
      <c r="C36" s="3">
        <v>2.6249999999999999E-2</v>
      </c>
      <c r="D36" s="2">
        <v>682.81</v>
      </c>
      <c r="E36" s="2">
        <f t="shared" si="6"/>
        <v>347.89470205462618</v>
      </c>
      <c r="F36" s="2">
        <f t="shared" si="7"/>
        <v>334.91529794537377</v>
      </c>
    </row>
    <row r="37" spans="1:6" x14ac:dyDescent="0.2">
      <c r="A37" s="1">
        <f t="shared" si="4"/>
        <v>45292</v>
      </c>
      <c r="B37" s="2">
        <f t="shared" si="5"/>
        <v>158702.66278416946</v>
      </c>
      <c r="C37" s="3">
        <v>2.6249999999999999E-2</v>
      </c>
      <c r="D37" s="2">
        <v>682.81</v>
      </c>
      <c r="E37" s="2">
        <f t="shared" si="6"/>
        <v>347.16207484037068</v>
      </c>
      <c r="F37" s="2">
        <f t="shared" si="7"/>
        <v>335.64792515962927</v>
      </c>
    </row>
    <row r="38" spans="1:6" x14ac:dyDescent="0.2">
      <c r="A38" s="1">
        <f t="shared" si="4"/>
        <v>45323</v>
      </c>
      <c r="B38" s="2">
        <f t="shared" si="5"/>
        <v>158367.01485900983</v>
      </c>
      <c r="C38" s="3">
        <v>2.6249999999999999E-2</v>
      </c>
      <c r="D38" s="2">
        <v>682.81</v>
      </c>
      <c r="E38" s="2">
        <f t="shared" si="6"/>
        <v>346.42784500408396</v>
      </c>
      <c r="F38" s="2">
        <f t="shared" si="7"/>
        <v>336.38215499591598</v>
      </c>
    </row>
    <row r="39" spans="1:6" x14ac:dyDescent="0.2">
      <c r="A39" s="1">
        <f t="shared" si="4"/>
        <v>45352</v>
      </c>
      <c r="B39" s="2">
        <f t="shared" si="5"/>
        <v>158030.6327040139</v>
      </c>
      <c r="C39" s="3">
        <v>2.6249999999999999E-2</v>
      </c>
      <c r="D39" s="2">
        <v>682.81</v>
      </c>
      <c r="E39" s="2">
        <f t="shared" si="6"/>
        <v>345.69200904003037</v>
      </c>
      <c r="F39" s="2">
        <f t="shared" si="7"/>
        <v>337.11799095996957</v>
      </c>
    </row>
    <row r="40" spans="1:6" x14ac:dyDescent="0.2">
      <c r="A40" s="1">
        <f t="shared" si="4"/>
        <v>45383</v>
      </c>
      <c r="B40" s="2">
        <f t="shared" si="5"/>
        <v>157693.51471305394</v>
      </c>
      <c r="C40" s="3">
        <v>2.6249999999999999E-2</v>
      </c>
      <c r="D40" s="2">
        <v>682.81</v>
      </c>
      <c r="E40" s="2">
        <f t="shared" si="6"/>
        <v>344.95456343480544</v>
      </c>
      <c r="F40" s="2">
        <f t="shared" si="7"/>
        <v>337.85543656519451</v>
      </c>
    </row>
    <row r="41" spans="1:6" x14ac:dyDescent="0.2">
      <c r="A41" s="1">
        <f t="shared" si="4"/>
        <v>45413</v>
      </c>
      <c r="B41" s="2">
        <f t="shared" si="5"/>
        <v>157355.65927648873</v>
      </c>
      <c r="C41" s="3">
        <v>2.6249999999999999E-2</v>
      </c>
      <c r="D41" s="2">
        <v>682.81</v>
      </c>
      <c r="E41" s="2">
        <f t="shared" si="6"/>
        <v>344.21550466731907</v>
      </c>
      <c r="F41" s="2">
        <f t="shared" si="7"/>
        <v>338.59449533268088</v>
      </c>
    </row>
    <row r="42" spans="1:6" x14ac:dyDescent="0.2">
      <c r="A42" s="1">
        <f t="shared" si="4"/>
        <v>45444</v>
      </c>
      <c r="B42" s="2">
        <f t="shared" si="5"/>
        <v>157017.06478115605</v>
      </c>
      <c r="C42" s="3">
        <v>2.6249999999999999E-2</v>
      </c>
      <c r="D42" s="2">
        <v>682.81</v>
      </c>
      <c r="E42" s="2">
        <f t="shared" si="6"/>
        <v>343.47482920877883</v>
      </c>
      <c r="F42" s="2">
        <f t="shared" si="7"/>
        <v>339.33517079122112</v>
      </c>
    </row>
    <row r="43" spans="1:6" x14ac:dyDescent="0.2">
      <c r="A43" s="1">
        <f t="shared" si="4"/>
        <v>45474</v>
      </c>
      <c r="B43" s="2">
        <f t="shared" si="5"/>
        <v>156677.72961036483</v>
      </c>
      <c r="C43" s="3">
        <v>2.6249999999999999E-2</v>
      </c>
      <c r="D43" s="2">
        <v>682.81</v>
      </c>
      <c r="E43" s="2">
        <f t="shared" si="6"/>
        <v>342.73253352267301</v>
      </c>
      <c r="F43" s="2">
        <f t="shared" si="7"/>
        <v>340.07746647732694</v>
      </c>
    </row>
    <row r="44" spans="1:6" x14ac:dyDescent="0.2">
      <c r="A44" s="1">
        <f t="shared" si="4"/>
        <v>45505</v>
      </c>
      <c r="B44" s="2">
        <f t="shared" si="5"/>
        <v>156337.65214388751</v>
      </c>
      <c r="C44" s="3">
        <v>2.6249999999999999E-2</v>
      </c>
      <c r="D44" s="2">
        <v>682.81</v>
      </c>
      <c r="E44" s="2">
        <f t="shared" si="6"/>
        <v>341.9886140647539</v>
      </c>
      <c r="F44" s="2">
        <f t="shared" si="7"/>
        <v>340.82138593524604</v>
      </c>
    </row>
    <row r="45" spans="1:6" x14ac:dyDescent="0.2">
      <c r="A45" s="1">
        <f t="shared" si="4"/>
        <v>45536</v>
      </c>
      <c r="B45" s="2">
        <f t="shared" si="5"/>
        <v>155996.83075795227</v>
      </c>
      <c r="C45" s="3">
        <v>2.6249999999999999E-2</v>
      </c>
      <c r="D45" s="2">
        <v>682.81</v>
      </c>
      <c r="E45" s="2">
        <f t="shared" si="6"/>
        <v>341.24306728302054</v>
      </c>
      <c r="F45" s="2">
        <f t="shared" si="7"/>
        <v>341.56693271697941</v>
      </c>
    </row>
    <row r="46" spans="1:6" x14ac:dyDescent="0.2">
      <c r="A46" s="1">
        <f t="shared" si="4"/>
        <v>45566</v>
      </c>
      <c r="B46" s="2">
        <f t="shared" si="5"/>
        <v>155655.26382523528</v>
      </c>
      <c r="C46" s="3">
        <v>2.6249999999999999E-2</v>
      </c>
      <c r="D46" s="2">
        <v>682.81</v>
      </c>
      <c r="E46" s="2">
        <f t="shared" si="6"/>
        <v>340.49588961770212</v>
      </c>
      <c r="F46" s="2">
        <f t="shared" si="7"/>
        <v>342.31411038229783</v>
      </c>
    </row>
    <row r="47" spans="1:6" x14ac:dyDescent="0.2">
      <c r="A47" s="1">
        <f t="shared" si="4"/>
        <v>45597</v>
      </c>
      <c r="B47" s="2">
        <f t="shared" si="5"/>
        <v>155312.94971485299</v>
      </c>
      <c r="C47" s="3">
        <v>2.6249999999999999E-2</v>
      </c>
      <c r="D47" s="2">
        <v>682.81</v>
      </c>
      <c r="E47" s="2">
        <f t="shared" si="6"/>
        <v>339.74707750124088</v>
      </c>
      <c r="F47" s="2">
        <f t="shared" si="7"/>
        <v>343.06292249875906</v>
      </c>
    </row>
    <row r="48" spans="1:6" x14ac:dyDescent="0.2">
      <c r="A48" s="1">
        <f t="shared" si="4"/>
        <v>45627</v>
      </c>
      <c r="B48" s="2">
        <f t="shared" si="5"/>
        <v>154969.88679235423</v>
      </c>
      <c r="C48" s="3">
        <v>2.6249999999999999E-2</v>
      </c>
      <c r="D48" s="2">
        <v>682.81</v>
      </c>
      <c r="E48" s="2">
        <f t="shared" si="6"/>
        <v>338.99662735827485</v>
      </c>
      <c r="F48" s="2">
        <f t="shared" si="7"/>
        <v>343.8133726417251</v>
      </c>
    </row>
    <row r="49" spans="1:6" x14ac:dyDescent="0.2">
      <c r="A49" s="1">
        <f t="shared" si="4"/>
        <v>45658</v>
      </c>
      <c r="B49" s="2">
        <f t="shared" si="5"/>
        <v>154626.07341971251</v>
      </c>
      <c r="C49" s="3">
        <v>2.6249999999999999E-2</v>
      </c>
      <c r="D49" s="2">
        <v>682.81</v>
      </c>
      <c r="E49" s="2">
        <f t="shared" si="6"/>
        <v>338.24453560562108</v>
      </c>
      <c r="F49" s="2">
        <f t="shared" si="7"/>
        <v>344.56546439437886</v>
      </c>
    </row>
    <row r="50" spans="1:6" x14ac:dyDescent="0.2">
      <c r="A50" s="1">
        <f t="shared" si="4"/>
        <v>45689</v>
      </c>
      <c r="B50" s="2">
        <f t="shared" si="5"/>
        <v>154281.50795531814</v>
      </c>
      <c r="C50" s="3">
        <v>2.6249999999999999E-2</v>
      </c>
      <c r="D50" s="2">
        <v>682.81</v>
      </c>
      <c r="E50" s="2">
        <f t="shared" si="6"/>
        <v>337.49079865225838</v>
      </c>
      <c r="F50" s="2">
        <f t="shared" si="7"/>
        <v>345.31920134774157</v>
      </c>
    </row>
    <row r="51" spans="1:6" x14ac:dyDescent="0.2">
      <c r="A51" s="1">
        <f t="shared" si="4"/>
        <v>45717</v>
      </c>
      <c r="B51" s="2">
        <f t="shared" si="5"/>
        <v>153936.1887539704</v>
      </c>
      <c r="C51" s="3">
        <v>2.6249999999999999E-2</v>
      </c>
      <c r="D51" s="2">
        <v>682.81</v>
      </c>
      <c r="E51" s="2">
        <f t="shared" si="6"/>
        <v>336.73541289931023</v>
      </c>
      <c r="F51" s="2">
        <f t="shared" si="7"/>
        <v>346.07458710068971</v>
      </c>
    </row>
    <row r="52" spans="1:6" x14ac:dyDescent="0.2">
      <c r="A52" s="1">
        <f t="shared" si="4"/>
        <v>45748</v>
      </c>
      <c r="B52" s="2">
        <f t="shared" si="5"/>
        <v>153590.11416686972</v>
      </c>
      <c r="C52" s="3">
        <v>2.6249999999999999E-2</v>
      </c>
      <c r="D52" s="2">
        <v>682.81</v>
      </c>
      <c r="E52" s="2">
        <f t="shared" si="6"/>
        <v>335.9783747400275</v>
      </c>
      <c r="F52" s="2">
        <f t="shared" si="7"/>
        <v>346.83162525997244</v>
      </c>
    </row>
    <row r="53" spans="1:6" x14ac:dyDescent="0.2">
      <c r="A53" s="1">
        <f t="shared" si="4"/>
        <v>45778</v>
      </c>
      <c r="B53" s="2">
        <f t="shared" si="5"/>
        <v>153243.28254160975</v>
      </c>
      <c r="C53" s="3">
        <v>2.6249999999999999E-2</v>
      </c>
      <c r="D53" s="2">
        <v>682.81</v>
      </c>
      <c r="E53" s="2">
        <f t="shared" si="6"/>
        <v>335.21968055977129</v>
      </c>
      <c r="F53" s="2">
        <f t="shared" si="7"/>
        <v>347.59031944022865</v>
      </c>
    </row>
    <row r="54" spans="1:6" x14ac:dyDescent="0.2">
      <c r="A54" s="1">
        <f t="shared" si="4"/>
        <v>45809</v>
      </c>
      <c r="B54" s="2">
        <f t="shared" si="5"/>
        <v>152895.69222216951</v>
      </c>
      <c r="C54" s="3">
        <v>2.6249999999999999E-2</v>
      </c>
      <c r="D54" s="2">
        <v>682.81</v>
      </c>
      <c r="E54" s="2">
        <f t="shared" si="6"/>
        <v>334.45932673599577</v>
      </c>
      <c r="F54" s="2">
        <f t="shared" si="7"/>
        <v>348.35067326400417</v>
      </c>
    </row>
    <row r="55" spans="1:6" x14ac:dyDescent="0.2">
      <c r="A55" s="1">
        <f t="shared" si="4"/>
        <v>45839</v>
      </c>
      <c r="B55" s="2">
        <f t="shared" si="5"/>
        <v>152547.3415489055</v>
      </c>
      <c r="C55" s="3">
        <v>2.6249999999999999E-2</v>
      </c>
      <c r="D55" s="2">
        <v>682.81</v>
      </c>
      <c r="E55" s="2">
        <f t="shared" si="6"/>
        <v>333.69730963823076</v>
      </c>
      <c r="F55" s="2">
        <f t="shared" si="7"/>
        <v>349.11269036176918</v>
      </c>
    </row>
    <row r="56" spans="1:6" x14ac:dyDescent="0.2">
      <c r="A56" s="1">
        <f t="shared" si="4"/>
        <v>45870</v>
      </c>
      <c r="B56" s="2">
        <f t="shared" si="5"/>
        <v>152198.22885854373</v>
      </c>
      <c r="C56" s="3">
        <v>2.6249999999999999E-2</v>
      </c>
      <c r="D56" s="2">
        <v>682.81</v>
      </c>
      <c r="E56" s="2">
        <f t="shared" si="6"/>
        <v>332.93362562806436</v>
      </c>
      <c r="F56" s="2">
        <f t="shared" si="7"/>
        <v>349.87637437193558</v>
      </c>
    </row>
    <row r="57" spans="1:6" x14ac:dyDescent="0.2">
      <c r="A57" s="1">
        <f t="shared" si="4"/>
        <v>45901</v>
      </c>
      <c r="B57" s="2">
        <f t="shared" si="5"/>
        <v>151848.3524841718</v>
      </c>
      <c r="C57" s="3">
        <v>2.6249999999999999E-2</v>
      </c>
      <c r="D57" s="2">
        <v>682.81</v>
      </c>
      <c r="E57" s="2">
        <f t="shared" si="6"/>
        <v>332.1682710591258</v>
      </c>
      <c r="F57" s="2">
        <f t="shared" si="7"/>
        <v>350.64172894087415</v>
      </c>
    </row>
    <row r="58" spans="1:6" x14ac:dyDescent="0.2">
      <c r="A58" s="1">
        <f t="shared" si="4"/>
        <v>45931</v>
      </c>
      <c r="B58" s="2">
        <f t="shared" si="5"/>
        <v>151497.71075523092</v>
      </c>
      <c r="C58" s="3">
        <v>2.6249999999999999E-2</v>
      </c>
      <c r="D58" s="2">
        <v>682.81</v>
      </c>
      <c r="E58" s="2">
        <f t="shared" si="6"/>
        <v>331.40124227706758</v>
      </c>
      <c r="F58" s="2">
        <f t="shared" si="7"/>
        <v>351.40875772293236</v>
      </c>
    </row>
    <row r="59" spans="1:6" x14ac:dyDescent="0.2">
      <c r="A59" s="1">
        <f t="shared" si="4"/>
        <v>45962</v>
      </c>
      <c r="B59" s="2">
        <f t="shared" si="5"/>
        <v>151146.30199750798</v>
      </c>
      <c r="C59" s="3">
        <v>2.6249999999999999E-2</v>
      </c>
      <c r="D59" s="2">
        <v>682.81</v>
      </c>
      <c r="E59" s="2">
        <f t="shared" si="6"/>
        <v>330.63253561954866</v>
      </c>
      <c r="F59" s="2">
        <f t="shared" si="7"/>
        <v>352.17746438045128</v>
      </c>
    </row>
    <row r="60" spans="1:6" x14ac:dyDescent="0.2">
      <c r="A60" s="1">
        <f t="shared" si="4"/>
        <v>45992</v>
      </c>
      <c r="B60" s="2">
        <f t="shared" si="5"/>
        <v>150794.12453312753</v>
      </c>
      <c r="C60" s="3">
        <v>2.6249999999999999E-2</v>
      </c>
      <c r="D60" s="2">
        <v>682.81</v>
      </c>
      <c r="E60" s="2">
        <f t="shared" si="6"/>
        <v>329.86214741621643</v>
      </c>
      <c r="F60" s="2">
        <f t="shared" si="7"/>
        <v>352.94785258378352</v>
      </c>
    </row>
    <row r="61" spans="1:6" x14ac:dyDescent="0.2">
      <c r="A61" s="1">
        <f t="shared" si="4"/>
        <v>46023</v>
      </c>
      <c r="B61" s="2">
        <f t="shared" si="5"/>
        <v>150441.17668054375</v>
      </c>
      <c r="C61" s="3">
        <v>2.6249999999999999E-2</v>
      </c>
      <c r="D61" s="2">
        <v>682.81</v>
      </c>
      <c r="E61" s="2">
        <f t="shared" si="6"/>
        <v>329.09007398868943</v>
      </c>
      <c r="F61" s="2">
        <f t="shared" si="7"/>
        <v>353.71992601131052</v>
      </c>
    </row>
    <row r="62" spans="1:6" x14ac:dyDescent="0.2">
      <c r="A62" s="1">
        <f t="shared" si="4"/>
        <v>46054</v>
      </c>
      <c r="B62" s="2">
        <f t="shared" si="5"/>
        <v>150087.45675453244</v>
      </c>
      <c r="C62" s="3">
        <v>2.6249999999999999E-2</v>
      </c>
      <c r="D62" s="2">
        <v>682.81</v>
      </c>
      <c r="E62" s="2">
        <f t="shared" si="6"/>
        <v>328.31631165053966</v>
      </c>
      <c r="F62" s="2">
        <f t="shared" si="7"/>
        <v>354.49368834946029</v>
      </c>
    </row>
    <row r="63" spans="1:6" x14ac:dyDescent="0.2">
      <c r="A63" s="1">
        <f t="shared" si="4"/>
        <v>46082</v>
      </c>
      <c r="B63" s="2">
        <f t="shared" si="5"/>
        <v>149732.96306618297</v>
      </c>
      <c r="C63" s="3">
        <v>2.6249999999999999E-2</v>
      </c>
      <c r="D63" s="2">
        <v>682.81</v>
      </c>
      <c r="E63" s="2">
        <f t="shared" si="6"/>
        <v>327.54085670727522</v>
      </c>
      <c r="F63" s="2">
        <f t="shared" si="7"/>
        <v>355.26914329272472</v>
      </c>
    </row>
    <row r="64" spans="1:6" x14ac:dyDescent="0.2">
      <c r="A64" s="1">
        <f t="shared" si="4"/>
        <v>46113</v>
      </c>
      <c r="B64" s="2">
        <f t="shared" si="5"/>
        <v>149377.69392289023</v>
      </c>
      <c r="C64" s="3">
        <v>2.6249999999999999E-2</v>
      </c>
      <c r="D64" s="2">
        <v>682.81</v>
      </c>
      <c r="E64" s="2">
        <f t="shared" si="6"/>
        <v>326.76370545632233</v>
      </c>
      <c r="F64" s="2">
        <f t="shared" si="7"/>
        <v>356.04629454367762</v>
      </c>
    </row>
    <row r="65" spans="1:6" x14ac:dyDescent="0.2">
      <c r="A65" s="1">
        <f t="shared" si="4"/>
        <v>46143</v>
      </c>
      <c r="B65" s="2">
        <f t="shared" si="5"/>
        <v>149021.64762834655</v>
      </c>
      <c r="C65" s="3">
        <v>2.6249999999999999E-2</v>
      </c>
      <c r="D65" s="2">
        <v>682.81</v>
      </c>
      <c r="E65" s="2">
        <f t="shared" si="6"/>
        <v>325.98485418700801</v>
      </c>
      <c r="F65" s="2">
        <f t="shared" si="7"/>
        <v>356.82514581299193</v>
      </c>
    </row>
    <row r="66" spans="1:6" x14ac:dyDescent="0.2">
      <c r="A66" s="1">
        <f t="shared" si="4"/>
        <v>46174</v>
      </c>
      <c r="B66" s="2">
        <f t="shared" si="5"/>
        <v>148664.82248253355</v>
      </c>
      <c r="C66" s="3">
        <v>2.6249999999999999E-2</v>
      </c>
      <c r="D66" s="2">
        <v>682.81</v>
      </c>
      <c r="E66" s="2">
        <f t="shared" si="6"/>
        <v>325.20429918054208</v>
      </c>
      <c r="F66" s="2">
        <f t="shared" si="7"/>
        <v>357.60570081945787</v>
      </c>
    </row>
    <row r="67" spans="1:6" x14ac:dyDescent="0.2">
      <c r="A67" s="1">
        <f t="shared" si="4"/>
        <v>46204</v>
      </c>
      <c r="B67" s="2">
        <f t="shared" si="5"/>
        <v>148307.21678171409</v>
      </c>
      <c r="C67" s="3">
        <v>2.6249999999999999E-2</v>
      </c>
      <c r="D67" s="2">
        <v>682.81</v>
      </c>
      <c r="E67" s="2">
        <f t="shared" si="6"/>
        <v>324.42203670999953</v>
      </c>
      <c r="F67" s="2">
        <f t="shared" si="7"/>
        <v>358.38796329000041</v>
      </c>
    </row>
    <row r="68" spans="1:6" x14ac:dyDescent="0.2">
      <c r="A68" s="1">
        <f t="shared" si="4"/>
        <v>46235</v>
      </c>
      <c r="B68" s="2">
        <f t="shared" si="5"/>
        <v>147948.82881842408</v>
      </c>
      <c r="C68" s="3">
        <v>2.6249999999999999E-2</v>
      </c>
      <c r="D68" s="2">
        <v>682.81</v>
      </c>
      <c r="E68" s="2">
        <f t="shared" si="6"/>
        <v>323.63806304030265</v>
      </c>
      <c r="F68" s="2">
        <f t="shared" si="7"/>
        <v>359.17193695969729</v>
      </c>
    </row>
    <row r="69" spans="1:6" x14ac:dyDescent="0.2">
      <c r="A69" s="1">
        <f t="shared" si="4"/>
        <v>46266</v>
      </c>
      <c r="B69" s="2">
        <f t="shared" si="5"/>
        <v>147589.65688146438</v>
      </c>
      <c r="C69" s="3">
        <v>2.6249999999999999E-2</v>
      </c>
      <c r="D69" s="2">
        <v>682.81</v>
      </c>
      <c r="E69" s="2">
        <f t="shared" si="6"/>
        <v>322.85237442820329</v>
      </c>
      <c r="F69" s="2">
        <f t="shared" si="7"/>
        <v>359.95762557179665</v>
      </c>
    </row>
    <row r="70" spans="1:6" x14ac:dyDescent="0.2">
      <c r="A70" s="1">
        <f t="shared" si="4"/>
        <v>46296</v>
      </c>
      <c r="B70" s="2">
        <f t="shared" si="5"/>
        <v>147229.6992558926</v>
      </c>
      <c r="C70" s="3">
        <v>2.6249999999999999E-2</v>
      </c>
      <c r="D70" s="2">
        <v>682.81</v>
      </c>
      <c r="E70" s="2">
        <f t="shared" si="6"/>
        <v>322.06496712226505</v>
      </c>
      <c r="F70" s="2">
        <f t="shared" si="7"/>
        <v>360.7450328777349</v>
      </c>
    </row>
    <row r="71" spans="1:6" x14ac:dyDescent="0.2">
      <c r="A71" s="1">
        <f t="shared" si="4"/>
        <v>46327</v>
      </c>
      <c r="B71" s="2">
        <f t="shared" si="5"/>
        <v>146868.95422301485</v>
      </c>
      <c r="C71" s="3">
        <v>2.6249999999999999E-2</v>
      </c>
      <c r="D71" s="2">
        <v>682.81</v>
      </c>
      <c r="E71" s="2">
        <f t="shared" si="6"/>
        <v>321.27583736284492</v>
      </c>
      <c r="F71" s="2">
        <f t="shared" si="7"/>
        <v>361.53416263715502</v>
      </c>
    </row>
    <row r="72" spans="1:6" x14ac:dyDescent="0.2">
      <c r="A72" s="1">
        <f t="shared" si="4"/>
        <v>46357</v>
      </c>
      <c r="B72" s="2">
        <f t="shared" si="5"/>
        <v>146507.42006037768</v>
      </c>
      <c r="C72" s="3">
        <v>2.6249999999999999E-2</v>
      </c>
      <c r="D72" s="2">
        <v>682.81</v>
      </c>
      <c r="E72" s="2">
        <f t="shared" si="6"/>
        <v>320.48498138207617</v>
      </c>
      <c r="F72" s="2">
        <f t="shared" si="7"/>
        <v>362.32501861792377</v>
      </c>
    </row>
    <row r="73" spans="1:6" x14ac:dyDescent="0.2">
      <c r="A73" s="1">
        <f t="shared" ref="A73:A136" si="8">DATE(YEAR(A72),MONTH(A72)+1,1)</f>
        <v>46388</v>
      </c>
      <c r="B73" s="2">
        <f t="shared" ref="B73:B136" si="9">B72-F72</f>
        <v>146145.09504175975</v>
      </c>
      <c r="C73" s="3">
        <v>2.6249999999999999E-2</v>
      </c>
      <c r="D73" s="2">
        <v>682.81</v>
      </c>
      <c r="E73" s="2">
        <f t="shared" ref="E73:E136" si="10">B73*(C73/12)</f>
        <v>319.69239540384945</v>
      </c>
      <c r="F73" s="2">
        <f t="shared" ref="F73:F136" si="11">+D73-E73</f>
        <v>363.1176045961505</v>
      </c>
    </row>
    <row r="74" spans="1:6" x14ac:dyDescent="0.2">
      <c r="A74" s="1">
        <f t="shared" si="8"/>
        <v>46419</v>
      </c>
      <c r="B74" s="2">
        <f t="shared" si="9"/>
        <v>145781.97743716359</v>
      </c>
      <c r="C74" s="3">
        <v>2.6249999999999999E-2</v>
      </c>
      <c r="D74" s="2">
        <v>682.81</v>
      </c>
      <c r="E74" s="2">
        <f t="shared" si="10"/>
        <v>318.89807564379532</v>
      </c>
      <c r="F74" s="2">
        <f t="shared" si="11"/>
        <v>363.91192435620462</v>
      </c>
    </row>
    <row r="75" spans="1:6" x14ac:dyDescent="0.2">
      <c r="A75" s="1">
        <f t="shared" si="8"/>
        <v>46447</v>
      </c>
      <c r="B75" s="2">
        <f t="shared" si="9"/>
        <v>145418.06551280737</v>
      </c>
      <c r="C75" s="3">
        <v>2.6249999999999999E-2</v>
      </c>
      <c r="D75" s="2">
        <v>682.81</v>
      </c>
      <c r="E75" s="2">
        <f t="shared" si="10"/>
        <v>318.1020183092661</v>
      </c>
      <c r="F75" s="2">
        <f t="shared" si="11"/>
        <v>364.70798169073385</v>
      </c>
    </row>
    <row r="76" spans="1:6" x14ac:dyDescent="0.2">
      <c r="A76" s="1">
        <f t="shared" si="8"/>
        <v>46478</v>
      </c>
      <c r="B76" s="2">
        <f t="shared" si="9"/>
        <v>145053.35753111664</v>
      </c>
      <c r="C76" s="3">
        <v>2.6249999999999999E-2</v>
      </c>
      <c r="D76" s="2">
        <v>682.81</v>
      </c>
      <c r="E76" s="2">
        <f t="shared" si="10"/>
        <v>317.30421959931761</v>
      </c>
      <c r="F76" s="2">
        <f t="shared" si="11"/>
        <v>365.50578040068234</v>
      </c>
    </row>
    <row r="77" spans="1:6" x14ac:dyDescent="0.2">
      <c r="A77" s="1">
        <f t="shared" si="8"/>
        <v>46508</v>
      </c>
      <c r="B77" s="2">
        <f t="shared" si="9"/>
        <v>144687.85175071596</v>
      </c>
      <c r="C77" s="3">
        <v>2.6249999999999999E-2</v>
      </c>
      <c r="D77" s="2">
        <v>682.81</v>
      </c>
      <c r="E77" s="2">
        <f t="shared" si="10"/>
        <v>316.50467570469112</v>
      </c>
      <c r="F77" s="2">
        <f t="shared" si="11"/>
        <v>366.30532429530882</v>
      </c>
    </row>
    <row r="78" spans="1:6" x14ac:dyDescent="0.2">
      <c r="A78" s="1">
        <f t="shared" si="8"/>
        <v>46539</v>
      </c>
      <c r="B78" s="2">
        <f t="shared" si="9"/>
        <v>144321.54642642065</v>
      </c>
      <c r="C78" s="3">
        <v>2.6249999999999999E-2</v>
      </c>
      <c r="D78" s="2">
        <v>682.81</v>
      </c>
      <c r="E78" s="2">
        <f t="shared" si="10"/>
        <v>315.70338280779515</v>
      </c>
      <c r="F78" s="2">
        <f t="shared" si="11"/>
        <v>367.10661719220479</v>
      </c>
    </row>
    <row r="79" spans="1:6" x14ac:dyDescent="0.2">
      <c r="A79" s="1">
        <f t="shared" si="8"/>
        <v>46569</v>
      </c>
      <c r="B79" s="2">
        <f t="shared" si="9"/>
        <v>143954.43980922844</v>
      </c>
      <c r="C79" s="3">
        <v>2.6249999999999999E-2</v>
      </c>
      <c r="D79" s="2">
        <v>682.81</v>
      </c>
      <c r="E79" s="2">
        <f t="shared" si="10"/>
        <v>314.9003370826872</v>
      </c>
      <c r="F79" s="2">
        <f t="shared" si="11"/>
        <v>367.90966291731274</v>
      </c>
    </row>
    <row r="80" spans="1:6" x14ac:dyDescent="0.2">
      <c r="A80" s="1">
        <f t="shared" si="8"/>
        <v>46600</v>
      </c>
      <c r="B80" s="2">
        <f t="shared" si="9"/>
        <v>143586.53014631112</v>
      </c>
      <c r="C80" s="3">
        <v>2.6249999999999999E-2</v>
      </c>
      <c r="D80" s="2">
        <v>682.81</v>
      </c>
      <c r="E80" s="2">
        <f t="shared" si="10"/>
        <v>314.09553469505556</v>
      </c>
      <c r="F80" s="2">
        <f t="shared" si="11"/>
        <v>368.71446530494438</v>
      </c>
    </row>
    <row r="81" spans="1:6" x14ac:dyDescent="0.2">
      <c r="A81" s="1">
        <f t="shared" si="8"/>
        <v>46631</v>
      </c>
      <c r="B81" s="2">
        <f t="shared" si="9"/>
        <v>143217.81568100618</v>
      </c>
      <c r="C81" s="3">
        <v>2.6249999999999999E-2</v>
      </c>
      <c r="D81" s="2">
        <v>682.81</v>
      </c>
      <c r="E81" s="2">
        <f t="shared" si="10"/>
        <v>313.28897180220099</v>
      </c>
      <c r="F81" s="2">
        <f t="shared" si="11"/>
        <v>369.52102819779896</v>
      </c>
    </row>
    <row r="82" spans="1:6" x14ac:dyDescent="0.2">
      <c r="A82" s="1">
        <f t="shared" si="8"/>
        <v>46661</v>
      </c>
      <c r="B82" s="2">
        <f t="shared" si="9"/>
        <v>142848.29465280837</v>
      </c>
      <c r="C82" s="3">
        <v>2.6249999999999999E-2</v>
      </c>
      <c r="D82" s="2">
        <v>682.81</v>
      </c>
      <c r="E82" s="2">
        <f t="shared" si="10"/>
        <v>312.48064455301829</v>
      </c>
      <c r="F82" s="2">
        <f t="shared" si="11"/>
        <v>370.32935544698165</v>
      </c>
    </row>
    <row r="83" spans="1:6" x14ac:dyDescent="0.2">
      <c r="A83" s="1">
        <f t="shared" si="8"/>
        <v>46692</v>
      </c>
      <c r="B83" s="2">
        <f t="shared" si="9"/>
        <v>142477.9652973614</v>
      </c>
      <c r="C83" s="3">
        <v>2.6249999999999999E-2</v>
      </c>
      <c r="D83" s="2">
        <v>682.81</v>
      </c>
      <c r="E83" s="2">
        <f t="shared" si="10"/>
        <v>311.67054908797803</v>
      </c>
      <c r="F83" s="2">
        <f t="shared" si="11"/>
        <v>371.13945091202191</v>
      </c>
    </row>
    <row r="84" spans="1:6" x14ac:dyDescent="0.2">
      <c r="A84" s="1">
        <f t="shared" si="8"/>
        <v>46722</v>
      </c>
      <c r="B84" s="2">
        <f t="shared" si="9"/>
        <v>142106.82584644938</v>
      </c>
      <c r="C84" s="3">
        <v>2.6249999999999999E-2</v>
      </c>
      <c r="D84" s="2">
        <v>682.81</v>
      </c>
      <c r="E84" s="2">
        <f t="shared" si="10"/>
        <v>310.85868153910798</v>
      </c>
      <c r="F84" s="2">
        <f t="shared" si="11"/>
        <v>371.95131846089197</v>
      </c>
    </row>
    <row r="85" spans="1:6" x14ac:dyDescent="0.2">
      <c r="A85" s="1">
        <f t="shared" si="8"/>
        <v>46753</v>
      </c>
      <c r="B85" s="2">
        <f t="shared" si="9"/>
        <v>141734.87452798849</v>
      </c>
      <c r="C85" s="3">
        <v>2.6249999999999999E-2</v>
      </c>
      <c r="D85" s="2">
        <v>682.81</v>
      </c>
      <c r="E85" s="2">
        <f t="shared" si="10"/>
        <v>310.04503802997476</v>
      </c>
      <c r="F85" s="2">
        <f t="shared" si="11"/>
        <v>372.76496197002518</v>
      </c>
    </row>
    <row r="86" spans="1:6" x14ac:dyDescent="0.2">
      <c r="A86" s="1">
        <f t="shared" si="8"/>
        <v>46784</v>
      </c>
      <c r="B86" s="2">
        <f t="shared" si="9"/>
        <v>141362.10956601845</v>
      </c>
      <c r="C86" s="3">
        <v>2.6249999999999999E-2</v>
      </c>
      <c r="D86" s="2">
        <v>682.81</v>
      </c>
      <c r="E86" s="2">
        <f t="shared" si="10"/>
        <v>309.22961467566535</v>
      </c>
      <c r="F86" s="2">
        <f t="shared" si="11"/>
        <v>373.5803853243346</v>
      </c>
    </row>
    <row r="87" spans="1:6" x14ac:dyDescent="0.2">
      <c r="A87" s="1">
        <f t="shared" si="8"/>
        <v>46813</v>
      </c>
      <c r="B87" s="2">
        <f t="shared" si="9"/>
        <v>140988.52918069411</v>
      </c>
      <c r="C87" s="3">
        <v>2.6249999999999999E-2</v>
      </c>
      <c r="D87" s="2">
        <v>682.81</v>
      </c>
      <c r="E87" s="2">
        <f t="shared" si="10"/>
        <v>308.41240758276831</v>
      </c>
      <c r="F87" s="2">
        <f t="shared" si="11"/>
        <v>374.39759241723164</v>
      </c>
    </row>
    <row r="88" spans="1:6" x14ac:dyDescent="0.2">
      <c r="A88" s="1">
        <f t="shared" si="8"/>
        <v>46844</v>
      </c>
      <c r="B88" s="2">
        <f t="shared" si="9"/>
        <v>140614.13158827688</v>
      </c>
      <c r="C88" s="3">
        <v>2.6249999999999999E-2</v>
      </c>
      <c r="D88" s="2">
        <v>682.81</v>
      </c>
      <c r="E88" s="2">
        <f t="shared" si="10"/>
        <v>307.59341284935567</v>
      </c>
      <c r="F88" s="2">
        <f t="shared" si="11"/>
        <v>375.21658715064427</v>
      </c>
    </row>
    <row r="89" spans="1:6" x14ac:dyDescent="0.2">
      <c r="A89" s="1">
        <f t="shared" si="8"/>
        <v>46874</v>
      </c>
      <c r="B89" s="2">
        <f t="shared" si="9"/>
        <v>140238.91500112624</v>
      </c>
      <c r="C89" s="3">
        <v>2.6249999999999999E-2</v>
      </c>
      <c r="D89" s="2">
        <v>682.81</v>
      </c>
      <c r="E89" s="2">
        <f t="shared" si="10"/>
        <v>306.77262656496362</v>
      </c>
      <c r="F89" s="2">
        <f t="shared" si="11"/>
        <v>376.03737343503633</v>
      </c>
    </row>
    <row r="90" spans="1:6" x14ac:dyDescent="0.2">
      <c r="A90" s="1">
        <f t="shared" si="8"/>
        <v>46905</v>
      </c>
      <c r="B90" s="2">
        <f t="shared" si="9"/>
        <v>139862.8776276912</v>
      </c>
      <c r="C90" s="3">
        <v>2.6249999999999999E-2</v>
      </c>
      <c r="D90" s="2">
        <v>682.81</v>
      </c>
      <c r="E90" s="2">
        <f t="shared" si="10"/>
        <v>305.95004481057447</v>
      </c>
      <c r="F90" s="2">
        <f t="shared" si="11"/>
        <v>376.85995518942548</v>
      </c>
    </row>
    <row r="91" spans="1:6" x14ac:dyDescent="0.2">
      <c r="A91" s="1">
        <f t="shared" si="8"/>
        <v>46935</v>
      </c>
      <c r="B91" s="2">
        <f t="shared" si="9"/>
        <v>139486.01767250177</v>
      </c>
      <c r="C91" s="3">
        <v>2.6249999999999999E-2</v>
      </c>
      <c r="D91" s="2">
        <v>682.81</v>
      </c>
      <c r="E91" s="2">
        <f t="shared" si="10"/>
        <v>305.1256636585976</v>
      </c>
      <c r="F91" s="2">
        <f t="shared" si="11"/>
        <v>377.68433634140234</v>
      </c>
    </row>
    <row r="92" spans="1:6" x14ac:dyDescent="0.2">
      <c r="A92" s="1">
        <f t="shared" si="8"/>
        <v>46966</v>
      </c>
      <c r="B92" s="2">
        <f t="shared" si="9"/>
        <v>139108.33333616037</v>
      </c>
      <c r="C92" s="3">
        <v>2.6249999999999999E-2</v>
      </c>
      <c r="D92" s="2">
        <v>682.81</v>
      </c>
      <c r="E92" s="2">
        <f t="shared" si="10"/>
        <v>304.29947917285079</v>
      </c>
      <c r="F92" s="2">
        <f t="shared" si="11"/>
        <v>378.51052082714915</v>
      </c>
    </row>
    <row r="93" spans="1:6" x14ac:dyDescent="0.2">
      <c r="A93" s="1">
        <f t="shared" si="8"/>
        <v>46997</v>
      </c>
      <c r="B93" s="2">
        <f t="shared" si="9"/>
        <v>138729.82281533323</v>
      </c>
      <c r="C93" s="3">
        <v>2.6249999999999999E-2</v>
      </c>
      <c r="D93" s="2">
        <v>682.81</v>
      </c>
      <c r="E93" s="2">
        <f t="shared" si="10"/>
        <v>303.47148740854141</v>
      </c>
      <c r="F93" s="2">
        <f t="shared" si="11"/>
        <v>379.33851259145854</v>
      </c>
    </row>
    <row r="94" spans="1:6" x14ac:dyDescent="0.2">
      <c r="A94" s="1">
        <f t="shared" si="8"/>
        <v>47027</v>
      </c>
      <c r="B94" s="2">
        <f t="shared" si="9"/>
        <v>138350.48430274177</v>
      </c>
      <c r="C94" s="3">
        <v>2.6249999999999999E-2</v>
      </c>
      <c r="D94" s="2">
        <v>682.81</v>
      </c>
      <c r="E94" s="2">
        <f t="shared" si="10"/>
        <v>302.64168441224757</v>
      </c>
      <c r="F94" s="2">
        <f t="shared" si="11"/>
        <v>380.16831558775237</v>
      </c>
    </row>
    <row r="95" spans="1:6" x14ac:dyDescent="0.2">
      <c r="A95" s="1">
        <f t="shared" si="8"/>
        <v>47058</v>
      </c>
      <c r="B95" s="2">
        <f t="shared" si="9"/>
        <v>137970.31598715403</v>
      </c>
      <c r="C95" s="3">
        <v>2.6249999999999999E-2</v>
      </c>
      <c r="D95" s="2">
        <v>682.81</v>
      </c>
      <c r="E95" s="2">
        <f t="shared" si="10"/>
        <v>301.81006622189938</v>
      </c>
      <c r="F95" s="2">
        <f t="shared" si="11"/>
        <v>380.99993377810057</v>
      </c>
    </row>
    <row r="96" spans="1:6" x14ac:dyDescent="0.2">
      <c r="A96" s="1">
        <f t="shared" si="8"/>
        <v>47088</v>
      </c>
      <c r="B96" s="2">
        <f t="shared" si="9"/>
        <v>137589.31605337592</v>
      </c>
      <c r="C96" s="3">
        <v>2.6249999999999999E-2</v>
      </c>
      <c r="D96" s="2">
        <v>682.81</v>
      </c>
      <c r="E96" s="2">
        <f t="shared" si="10"/>
        <v>300.97662886675982</v>
      </c>
      <c r="F96" s="2">
        <f t="shared" si="11"/>
        <v>381.83337113324012</v>
      </c>
    </row>
    <row r="97" spans="1:6" x14ac:dyDescent="0.2">
      <c r="A97" s="1">
        <f t="shared" si="8"/>
        <v>47119</v>
      </c>
      <c r="B97" s="2">
        <f t="shared" si="9"/>
        <v>137207.48268224267</v>
      </c>
      <c r="C97" s="3">
        <v>2.6249999999999999E-2</v>
      </c>
      <c r="D97" s="2">
        <v>682.81</v>
      </c>
      <c r="E97" s="2">
        <f t="shared" si="10"/>
        <v>300.14136836740579</v>
      </c>
      <c r="F97" s="2">
        <f t="shared" si="11"/>
        <v>382.66863163259416</v>
      </c>
    </row>
    <row r="98" spans="1:6" x14ac:dyDescent="0.2">
      <c r="A98" s="1">
        <f t="shared" si="8"/>
        <v>47150</v>
      </c>
      <c r="B98" s="2">
        <f t="shared" si="9"/>
        <v>136824.81405061006</v>
      </c>
      <c r="C98" s="3">
        <v>2.6249999999999999E-2</v>
      </c>
      <c r="D98" s="2">
        <v>682.81</v>
      </c>
      <c r="E98" s="2">
        <f t="shared" si="10"/>
        <v>299.30428073570948</v>
      </c>
      <c r="F98" s="2">
        <f t="shared" si="11"/>
        <v>383.50571926429046</v>
      </c>
    </row>
    <row r="99" spans="1:6" x14ac:dyDescent="0.2">
      <c r="A99" s="1">
        <f t="shared" si="8"/>
        <v>47178</v>
      </c>
      <c r="B99" s="2">
        <f t="shared" si="9"/>
        <v>136441.30833134576</v>
      </c>
      <c r="C99" s="3">
        <v>2.6249999999999999E-2</v>
      </c>
      <c r="D99" s="2">
        <v>682.81</v>
      </c>
      <c r="E99" s="2">
        <f t="shared" si="10"/>
        <v>298.46536197481885</v>
      </c>
      <c r="F99" s="2">
        <f t="shared" si="11"/>
        <v>384.3446380251811</v>
      </c>
    </row>
    <row r="100" spans="1:6" x14ac:dyDescent="0.2">
      <c r="A100" s="1">
        <f t="shared" si="8"/>
        <v>47209</v>
      </c>
      <c r="B100" s="2">
        <f t="shared" si="9"/>
        <v>136056.96369332058</v>
      </c>
      <c r="C100" s="3">
        <v>2.6249999999999999E-2</v>
      </c>
      <c r="D100" s="2">
        <v>682.81</v>
      </c>
      <c r="E100" s="2">
        <f t="shared" si="10"/>
        <v>297.62460807913874</v>
      </c>
      <c r="F100" s="2">
        <f t="shared" si="11"/>
        <v>385.18539192086121</v>
      </c>
    </row>
    <row r="101" spans="1:6" x14ac:dyDescent="0.2">
      <c r="A101" s="1">
        <f t="shared" si="8"/>
        <v>47239</v>
      </c>
      <c r="B101" s="2">
        <f t="shared" si="9"/>
        <v>135671.77830139973</v>
      </c>
      <c r="C101" s="3">
        <v>2.6249999999999999E-2</v>
      </c>
      <c r="D101" s="2">
        <v>682.81</v>
      </c>
      <c r="E101" s="2">
        <f t="shared" si="10"/>
        <v>296.78201503431188</v>
      </c>
      <c r="F101" s="2">
        <f t="shared" si="11"/>
        <v>386.02798496568806</v>
      </c>
    </row>
    <row r="102" spans="1:6" x14ac:dyDescent="0.2">
      <c r="A102" s="1">
        <f t="shared" si="8"/>
        <v>47270</v>
      </c>
      <c r="B102" s="2">
        <f t="shared" si="9"/>
        <v>135285.75031643405</v>
      </c>
      <c r="C102" s="3">
        <v>2.6249999999999999E-2</v>
      </c>
      <c r="D102" s="2">
        <v>682.81</v>
      </c>
      <c r="E102" s="2">
        <f t="shared" si="10"/>
        <v>295.93757881719944</v>
      </c>
      <c r="F102" s="2">
        <f t="shared" si="11"/>
        <v>386.87242118280051</v>
      </c>
    </row>
    <row r="103" spans="1:6" x14ac:dyDescent="0.2">
      <c r="A103" s="1">
        <f t="shared" si="8"/>
        <v>47300</v>
      </c>
      <c r="B103" s="2">
        <f t="shared" si="9"/>
        <v>134898.87789525124</v>
      </c>
      <c r="C103" s="3">
        <v>2.6249999999999999E-2</v>
      </c>
      <c r="D103" s="2">
        <v>682.81</v>
      </c>
      <c r="E103" s="2">
        <f t="shared" si="10"/>
        <v>295.09129539586206</v>
      </c>
      <c r="F103" s="2">
        <f t="shared" si="11"/>
        <v>387.71870460413788</v>
      </c>
    </row>
    <row r="104" spans="1:6" x14ac:dyDescent="0.2">
      <c r="A104" s="1">
        <f t="shared" si="8"/>
        <v>47331</v>
      </c>
      <c r="B104" s="2">
        <f t="shared" si="9"/>
        <v>134511.1591906471</v>
      </c>
      <c r="C104" s="3">
        <v>2.6249999999999999E-2</v>
      </c>
      <c r="D104" s="2">
        <v>682.81</v>
      </c>
      <c r="E104" s="2">
        <f t="shared" si="10"/>
        <v>294.24316072954048</v>
      </c>
      <c r="F104" s="2">
        <f t="shared" si="11"/>
        <v>388.56683927045947</v>
      </c>
    </row>
    <row r="105" spans="1:6" x14ac:dyDescent="0.2">
      <c r="A105" s="1">
        <f t="shared" si="8"/>
        <v>47362</v>
      </c>
      <c r="B105" s="2">
        <f t="shared" si="9"/>
        <v>134122.59235137663</v>
      </c>
      <c r="C105" s="3">
        <v>2.6249999999999999E-2</v>
      </c>
      <c r="D105" s="2">
        <v>682.81</v>
      </c>
      <c r="E105" s="2">
        <f t="shared" si="10"/>
        <v>293.39317076863637</v>
      </c>
      <c r="F105" s="2">
        <f t="shared" si="11"/>
        <v>389.41682923136358</v>
      </c>
    </row>
    <row r="106" spans="1:6" x14ac:dyDescent="0.2">
      <c r="A106" s="1">
        <f t="shared" si="8"/>
        <v>47392</v>
      </c>
      <c r="B106" s="2">
        <f t="shared" si="9"/>
        <v>133733.17552214526</v>
      </c>
      <c r="C106" s="3">
        <v>2.6249999999999999E-2</v>
      </c>
      <c r="D106" s="2">
        <v>682.81</v>
      </c>
      <c r="E106" s="2">
        <f t="shared" si="10"/>
        <v>292.54132145469271</v>
      </c>
      <c r="F106" s="2">
        <f t="shared" si="11"/>
        <v>390.26867854530724</v>
      </c>
    </row>
    <row r="107" spans="1:6" x14ac:dyDescent="0.2">
      <c r="A107" s="1">
        <f t="shared" si="8"/>
        <v>47423</v>
      </c>
      <c r="B107" s="2">
        <f t="shared" si="9"/>
        <v>133342.90684359995</v>
      </c>
      <c r="C107" s="3">
        <v>2.6249999999999999E-2</v>
      </c>
      <c r="D107" s="2">
        <v>682.81</v>
      </c>
      <c r="E107" s="2">
        <f t="shared" si="10"/>
        <v>291.68760872037484</v>
      </c>
      <c r="F107" s="2">
        <f t="shared" si="11"/>
        <v>391.12239127962511</v>
      </c>
    </row>
    <row r="108" spans="1:6" x14ac:dyDescent="0.2">
      <c r="A108" s="1">
        <f t="shared" si="8"/>
        <v>47453</v>
      </c>
      <c r="B108" s="2">
        <f t="shared" si="9"/>
        <v>132951.78445232034</v>
      </c>
      <c r="C108" s="3">
        <v>2.6249999999999999E-2</v>
      </c>
      <c r="D108" s="2">
        <v>682.81</v>
      </c>
      <c r="E108" s="2">
        <f t="shared" si="10"/>
        <v>290.83202848945069</v>
      </c>
      <c r="F108" s="2">
        <f t="shared" si="11"/>
        <v>391.97797151054925</v>
      </c>
    </row>
    <row r="109" spans="1:6" x14ac:dyDescent="0.2">
      <c r="A109" s="1">
        <f t="shared" si="8"/>
        <v>47484</v>
      </c>
      <c r="B109" s="2">
        <f t="shared" si="9"/>
        <v>132559.80648080978</v>
      </c>
      <c r="C109" s="3">
        <v>2.6249999999999999E-2</v>
      </c>
      <c r="D109" s="2">
        <v>682.81</v>
      </c>
      <c r="E109" s="2">
        <f t="shared" si="10"/>
        <v>289.97457667677139</v>
      </c>
      <c r="F109" s="2">
        <f t="shared" si="11"/>
        <v>392.83542332322855</v>
      </c>
    </row>
    <row r="110" spans="1:6" x14ac:dyDescent="0.2">
      <c r="A110" s="1">
        <f t="shared" si="8"/>
        <v>47515</v>
      </c>
      <c r="B110" s="2">
        <f t="shared" si="9"/>
        <v>132166.97105748655</v>
      </c>
      <c r="C110" s="3">
        <v>2.6249999999999999E-2</v>
      </c>
      <c r="D110" s="2">
        <v>682.81</v>
      </c>
      <c r="E110" s="2">
        <f t="shared" si="10"/>
        <v>289.11524918825177</v>
      </c>
      <c r="F110" s="2">
        <f t="shared" si="11"/>
        <v>393.69475081174818</v>
      </c>
    </row>
    <row r="111" spans="1:6" x14ac:dyDescent="0.2">
      <c r="A111" s="1">
        <f t="shared" si="8"/>
        <v>47543</v>
      </c>
      <c r="B111" s="2">
        <f t="shared" si="9"/>
        <v>131773.27630667479</v>
      </c>
      <c r="C111" s="3">
        <v>2.6249999999999999E-2</v>
      </c>
      <c r="D111" s="2">
        <v>682.81</v>
      </c>
      <c r="E111" s="2">
        <f t="shared" si="10"/>
        <v>288.25404192085108</v>
      </c>
      <c r="F111" s="2">
        <f t="shared" si="11"/>
        <v>394.55595807914887</v>
      </c>
    </row>
    <row r="112" spans="1:6" x14ac:dyDescent="0.2">
      <c r="A112" s="1">
        <f t="shared" si="8"/>
        <v>47574</v>
      </c>
      <c r="B112" s="2">
        <f t="shared" si="9"/>
        <v>131378.72034859564</v>
      </c>
      <c r="C112" s="3">
        <v>2.6249999999999999E-2</v>
      </c>
      <c r="D112" s="2">
        <v>682.81</v>
      </c>
      <c r="E112" s="2">
        <f t="shared" si="10"/>
        <v>287.39095076255296</v>
      </c>
      <c r="F112" s="2">
        <f t="shared" si="11"/>
        <v>395.41904923744698</v>
      </c>
    </row>
    <row r="113" spans="1:6" x14ac:dyDescent="0.2">
      <c r="A113" s="1">
        <f t="shared" si="8"/>
        <v>47604</v>
      </c>
      <c r="B113" s="2">
        <f t="shared" si="9"/>
        <v>130983.30129935819</v>
      </c>
      <c r="C113" s="3">
        <v>2.6249999999999999E-2</v>
      </c>
      <c r="D113" s="2">
        <v>682.81</v>
      </c>
      <c r="E113" s="2">
        <f t="shared" si="10"/>
        <v>286.52597159234602</v>
      </c>
      <c r="F113" s="2">
        <f t="shared" si="11"/>
        <v>396.28402840765392</v>
      </c>
    </row>
    <row r="114" spans="1:6" x14ac:dyDescent="0.2">
      <c r="A114" s="1">
        <f t="shared" si="8"/>
        <v>47635</v>
      </c>
      <c r="B114" s="2">
        <f t="shared" si="9"/>
        <v>130587.01727095054</v>
      </c>
      <c r="C114" s="3">
        <v>2.6249999999999999E-2</v>
      </c>
      <c r="D114" s="2">
        <v>682.81</v>
      </c>
      <c r="E114" s="2">
        <f t="shared" si="10"/>
        <v>285.65910028020426</v>
      </c>
      <c r="F114" s="2">
        <f t="shared" si="11"/>
        <v>397.15089971979569</v>
      </c>
    </row>
    <row r="115" spans="1:6" x14ac:dyDescent="0.2">
      <c r="A115" s="1">
        <f t="shared" si="8"/>
        <v>47665</v>
      </c>
      <c r="B115" s="2">
        <f t="shared" si="9"/>
        <v>130189.86637123075</v>
      </c>
      <c r="C115" s="3">
        <v>2.6249999999999999E-2</v>
      </c>
      <c r="D115" s="2">
        <v>682.81</v>
      </c>
      <c r="E115" s="2">
        <f t="shared" si="10"/>
        <v>284.79033268706723</v>
      </c>
      <c r="F115" s="2">
        <f t="shared" si="11"/>
        <v>398.01966731293271</v>
      </c>
    </row>
    <row r="116" spans="1:6" x14ac:dyDescent="0.2">
      <c r="A116" s="1">
        <f t="shared" si="8"/>
        <v>47696</v>
      </c>
      <c r="B116" s="2">
        <f t="shared" si="9"/>
        <v>129791.84670391781</v>
      </c>
      <c r="C116" s="3">
        <v>2.6249999999999999E-2</v>
      </c>
      <c r="D116" s="2">
        <v>682.81</v>
      </c>
      <c r="E116" s="2">
        <f t="shared" si="10"/>
        <v>283.91966466482017</v>
      </c>
      <c r="F116" s="2">
        <f t="shared" si="11"/>
        <v>398.89033533517977</v>
      </c>
    </row>
    <row r="117" spans="1:6" x14ac:dyDescent="0.2">
      <c r="A117" s="1">
        <f t="shared" si="8"/>
        <v>47727</v>
      </c>
      <c r="B117" s="2">
        <f t="shared" si="9"/>
        <v>129392.95636858263</v>
      </c>
      <c r="C117" s="3">
        <v>2.6249999999999999E-2</v>
      </c>
      <c r="D117" s="2">
        <v>682.81</v>
      </c>
      <c r="E117" s="2">
        <f t="shared" si="10"/>
        <v>283.04709205627449</v>
      </c>
      <c r="F117" s="2">
        <f t="shared" si="11"/>
        <v>399.76290794372545</v>
      </c>
    </row>
    <row r="118" spans="1:6" x14ac:dyDescent="0.2">
      <c r="A118" s="1">
        <f t="shared" si="8"/>
        <v>47757</v>
      </c>
      <c r="B118" s="2">
        <f t="shared" si="9"/>
        <v>128993.1934606389</v>
      </c>
      <c r="C118" s="3">
        <v>2.6249999999999999E-2</v>
      </c>
      <c r="D118" s="2">
        <v>682.81</v>
      </c>
      <c r="E118" s="2">
        <f t="shared" si="10"/>
        <v>282.17261069514757</v>
      </c>
      <c r="F118" s="2">
        <f t="shared" si="11"/>
        <v>400.63738930485238</v>
      </c>
    </row>
    <row r="119" spans="1:6" x14ac:dyDescent="0.2">
      <c r="A119" s="1">
        <f t="shared" si="8"/>
        <v>47788</v>
      </c>
      <c r="B119" s="2">
        <f t="shared" si="9"/>
        <v>128592.55607133404</v>
      </c>
      <c r="C119" s="3">
        <v>2.6249999999999999E-2</v>
      </c>
      <c r="D119" s="2">
        <v>682.81</v>
      </c>
      <c r="E119" s="2">
        <f t="shared" si="10"/>
        <v>281.29621640604319</v>
      </c>
      <c r="F119" s="2">
        <f t="shared" si="11"/>
        <v>401.51378359395676</v>
      </c>
    </row>
    <row r="120" spans="1:6" x14ac:dyDescent="0.2">
      <c r="A120" s="1">
        <f t="shared" si="8"/>
        <v>47818</v>
      </c>
      <c r="B120" s="2">
        <f t="shared" si="9"/>
        <v>128191.04228774009</v>
      </c>
      <c r="C120" s="3">
        <v>2.6249999999999999E-2</v>
      </c>
      <c r="D120" s="2">
        <v>682.81</v>
      </c>
      <c r="E120" s="2">
        <f t="shared" si="10"/>
        <v>280.41790500443142</v>
      </c>
      <c r="F120" s="2">
        <f t="shared" si="11"/>
        <v>402.39209499556853</v>
      </c>
    </row>
    <row r="121" spans="1:6" x14ac:dyDescent="0.2">
      <c r="A121" s="1">
        <f t="shared" si="8"/>
        <v>47849</v>
      </c>
      <c r="B121" s="2">
        <f t="shared" si="9"/>
        <v>127788.65019274452</v>
      </c>
      <c r="C121" s="3">
        <v>2.6249999999999999E-2</v>
      </c>
      <c r="D121" s="2">
        <v>682.81</v>
      </c>
      <c r="E121" s="2">
        <f t="shared" si="10"/>
        <v>279.53767229662861</v>
      </c>
      <c r="F121" s="2">
        <f t="shared" si="11"/>
        <v>403.27232770337133</v>
      </c>
    </row>
    <row r="122" spans="1:6" x14ac:dyDescent="0.2">
      <c r="A122" s="1">
        <f t="shared" si="8"/>
        <v>47880</v>
      </c>
      <c r="B122" s="2">
        <f t="shared" si="9"/>
        <v>127385.37786504116</v>
      </c>
      <c r="C122" s="3">
        <v>2.6249999999999999E-2</v>
      </c>
      <c r="D122" s="2">
        <v>682.81</v>
      </c>
      <c r="E122" s="2">
        <f t="shared" si="10"/>
        <v>278.6555140797775</v>
      </c>
      <c r="F122" s="2">
        <f t="shared" si="11"/>
        <v>404.15448592022244</v>
      </c>
    </row>
    <row r="123" spans="1:6" x14ac:dyDescent="0.2">
      <c r="A123" s="1">
        <f t="shared" si="8"/>
        <v>47908</v>
      </c>
      <c r="B123" s="2">
        <f t="shared" si="9"/>
        <v>126981.22337912093</v>
      </c>
      <c r="C123" s="3">
        <v>2.6249999999999999E-2</v>
      </c>
      <c r="D123" s="2">
        <v>682.81</v>
      </c>
      <c r="E123" s="2">
        <f t="shared" si="10"/>
        <v>277.77142614182702</v>
      </c>
      <c r="F123" s="2">
        <f t="shared" si="11"/>
        <v>405.03857385817292</v>
      </c>
    </row>
    <row r="124" spans="1:6" x14ac:dyDescent="0.2">
      <c r="A124" s="1">
        <f t="shared" si="8"/>
        <v>47939</v>
      </c>
      <c r="B124" s="2">
        <f t="shared" si="9"/>
        <v>126576.18480526276</v>
      </c>
      <c r="C124" s="3">
        <v>2.6249999999999999E-2</v>
      </c>
      <c r="D124" s="2">
        <v>682.81</v>
      </c>
      <c r="E124" s="2">
        <f t="shared" si="10"/>
        <v>276.88540426151224</v>
      </c>
      <c r="F124" s="2">
        <f t="shared" si="11"/>
        <v>405.92459573848771</v>
      </c>
    </row>
    <row r="125" spans="1:6" x14ac:dyDescent="0.2">
      <c r="A125" s="1">
        <f t="shared" si="8"/>
        <v>47969</v>
      </c>
      <c r="B125" s="2">
        <f t="shared" si="9"/>
        <v>126170.26020952428</v>
      </c>
      <c r="C125" s="3">
        <v>2.6249999999999999E-2</v>
      </c>
      <c r="D125" s="2">
        <v>682.81</v>
      </c>
      <c r="E125" s="2">
        <f t="shared" si="10"/>
        <v>275.99744420833434</v>
      </c>
      <c r="F125" s="2">
        <f t="shared" si="11"/>
        <v>406.8125557916656</v>
      </c>
    </row>
    <row r="126" spans="1:6" x14ac:dyDescent="0.2">
      <c r="A126" s="1">
        <f t="shared" si="8"/>
        <v>48000</v>
      </c>
      <c r="B126" s="2">
        <f t="shared" si="9"/>
        <v>125763.44765373261</v>
      </c>
      <c r="C126" s="3">
        <v>2.6249999999999999E-2</v>
      </c>
      <c r="D126" s="2">
        <v>682.81</v>
      </c>
      <c r="E126" s="2">
        <f t="shared" si="10"/>
        <v>275.10754174254004</v>
      </c>
      <c r="F126" s="2">
        <f t="shared" si="11"/>
        <v>407.70245825745991</v>
      </c>
    </row>
    <row r="127" spans="1:6" x14ac:dyDescent="0.2">
      <c r="A127" s="1">
        <f t="shared" si="8"/>
        <v>48030</v>
      </c>
      <c r="B127" s="2">
        <f t="shared" si="9"/>
        <v>125355.74519547515</v>
      </c>
      <c r="C127" s="3">
        <v>2.6249999999999999E-2</v>
      </c>
      <c r="D127" s="2">
        <v>682.81</v>
      </c>
      <c r="E127" s="2">
        <f t="shared" si="10"/>
        <v>274.21569261510183</v>
      </c>
      <c r="F127" s="2">
        <f t="shared" si="11"/>
        <v>408.59430738489812</v>
      </c>
    </row>
    <row r="128" spans="1:6" x14ac:dyDescent="0.2">
      <c r="A128" s="1">
        <f t="shared" si="8"/>
        <v>48061</v>
      </c>
      <c r="B128" s="2">
        <f t="shared" si="9"/>
        <v>124947.15088809024</v>
      </c>
      <c r="C128" s="3">
        <v>2.6249999999999999E-2</v>
      </c>
      <c r="D128" s="2">
        <v>682.81</v>
      </c>
      <c r="E128" s="2">
        <f t="shared" si="10"/>
        <v>273.32189256769738</v>
      </c>
      <c r="F128" s="2">
        <f t="shared" si="11"/>
        <v>409.48810743230257</v>
      </c>
    </row>
    <row r="129" spans="1:6" x14ac:dyDescent="0.2">
      <c r="A129" s="1">
        <f t="shared" si="8"/>
        <v>48092</v>
      </c>
      <c r="B129" s="2">
        <f t="shared" si="9"/>
        <v>124537.66278065793</v>
      </c>
      <c r="C129" s="3">
        <v>2.6249999999999999E-2</v>
      </c>
      <c r="D129" s="2">
        <v>682.81</v>
      </c>
      <c r="E129" s="2">
        <f t="shared" si="10"/>
        <v>272.42613733268922</v>
      </c>
      <c r="F129" s="2">
        <f t="shared" si="11"/>
        <v>410.38386266731072</v>
      </c>
    </row>
    <row r="130" spans="1:6" x14ac:dyDescent="0.2">
      <c r="A130" s="1">
        <f t="shared" si="8"/>
        <v>48122</v>
      </c>
      <c r="B130" s="2">
        <f t="shared" si="9"/>
        <v>124127.27891799062</v>
      </c>
      <c r="C130" s="3">
        <v>2.6249999999999999E-2</v>
      </c>
      <c r="D130" s="2">
        <v>682.81</v>
      </c>
      <c r="E130" s="2">
        <f t="shared" si="10"/>
        <v>271.52842263310447</v>
      </c>
      <c r="F130" s="2">
        <f t="shared" si="11"/>
        <v>411.28157736689548</v>
      </c>
    </row>
    <row r="131" spans="1:6" x14ac:dyDescent="0.2">
      <c r="A131" s="1">
        <f t="shared" si="8"/>
        <v>48153</v>
      </c>
      <c r="B131" s="2">
        <f t="shared" si="9"/>
        <v>123715.99734062373</v>
      </c>
      <c r="C131" s="3">
        <v>2.6249999999999999E-2</v>
      </c>
      <c r="D131" s="2">
        <v>682.81</v>
      </c>
      <c r="E131" s="2">
        <f t="shared" si="10"/>
        <v>270.62874418261435</v>
      </c>
      <c r="F131" s="2">
        <f t="shared" si="11"/>
        <v>412.18125581738559</v>
      </c>
    </row>
    <row r="132" spans="1:6" x14ac:dyDescent="0.2">
      <c r="A132" s="1">
        <f t="shared" si="8"/>
        <v>48183</v>
      </c>
      <c r="B132" s="2">
        <f t="shared" si="9"/>
        <v>123303.81608480634</v>
      </c>
      <c r="C132" s="3">
        <v>2.6249999999999999E-2</v>
      </c>
      <c r="D132" s="2">
        <v>682.81</v>
      </c>
      <c r="E132" s="2">
        <f t="shared" si="10"/>
        <v>269.72709768551385</v>
      </c>
      <c r="F132" s="2">
        <f t="shared" si="11"/>
        <v>413.08290231448609</v>
      </c>
    </row>
    <row r="133" spans="1:6" x14ac:dyDescent="0.2">
      <c r="A133" s="1">
        <f t="shared" si="8"/>
        <v>48214</v>
      </c>
      <c r="B133" s="2">
        <f t="shared" si="9"/>
        <v>122890.73318249185</v>
      </c>
      <c r="C133" s="3">
        <v>2.6249999999999999E-2</v>
      </c>
      <c r="D133" s="2">
        <v>682.81</v>
      </c>
      <c r="E133" s="2">
        <f t="shared" si="10"/>
        <v>268.82347883670087</v>
      </c>
      <c r="F133" s="2">
        <f t="shared" si="11"/>
        <v>413.98652116329907</v>
      </c>
    </row>
    <row r="134" spans="1:6" x14ac:dyDescent="0.2">
      <c r="A134" s="1">
        <f t="shared" si="8"/>
        <v>48245</v>
      </c>
      <c r="B134" s="2">
        <f t="shared" si="9"/>
        <v>122476.74666132855</v>
      </c>
      <c r="C134" s="3">
        <v>2.6249999999999999E-2</v>
      </c>
      <c r="D134" s="2">
        <v>682.81</v>
      </c>
      <c r="E134" s="2">
        <f t="shared" si="10"/>
        <v>267.91788332165618</v>
      </c>
      <c r="F134" s="2">
        <f t="shared" si="11"/>
        <v>414.89211667834377</v>
      </c>
    </row>
    <row r="135" spans="1:6" x14ac:dyDescent="0.2">
      <c r="A135" s="1">
        <f t="shared" si="8"/>
        <v>48274</v>
      </c>
      <c r="B135" s="2">
        <f t="shared" si="9"/>
        <v>122061.85454465021</v>
      </c>
      <c r="C135" s="3">
        <v>2.6249999999999999E-2</v>
      </c>
      <c r="D135" s="2">
        <v>682.81</v>
      </c>
      <c r="E135" s="2">
        <f t="shared" si="10"/>
        <v>267.01030681642231</v>
      </c>
      <c r="F135" s="2">
        <f t="shared" si="11"/>
        <v>415.79969318357763</v>
      </c>
    </row>
    <row r="136" spans="1:6" x14ac:dyDescent="0.2">
      <c r="A136" s="1">
        <f t="shared" si="8"/>
        <v>48305</v>
      </c>
      <c r="B136" s="2">
        <f t="shared" si="9"/>
        <v>121646.05485146663</v>
      </c>
      <c r="C136" s="3">
        <v>2.6249999999999999E-2</v>
      </c>
      <c r="D136" s="2">
        <v>682.81</v>
      </c>
      <c r="E136" s="2">
        <f t="shared" si="10"/>
        <v>266.1007449875832</v>
      </c>
      <c r="F136" s="2">
        <f t="shared" si="11"/>
        <v>416.70925501241675</v>
      </c>
    </row>
    <row r="137" spans="1:6" x14ac:dyDescent="0.2">
      <c r="A137" s="1">
        <f t="shared" ref="A137:A200" si="12">DATE(YEAR(A136),MONTH(A136)+1,1)</f>
        <v>48335</v>
      </c>
      <c r="B137" s="2">
        <f t="shared" ref="B137:B200" si="13">B136-F136</f>
        <v>121229.34559645421</v>
      </c>
      <c r="C137" s="3">
        <v>2.6249999999999999E-2</v>
      </c>
      <c r="D137" s="2">
        <v>682.81</v>
      </c>
      <c r="E137" s="2">
        <f t="shared" ref="E137:E200" si="14">B137*(C137/12)</f>
        <v>265.18919349224353</v>
      </c>
      <c r="F137" s="2">
        <f t="shared" ref="F137:F200" si="15">+D137-E137</f>
        <v>417.62080650775641</v>
      </c>
    </row>
    <row r="138" spans="1:6" x14ac:dyDescent="0.2">
      <c r="A138" s="1">
        <f t="shared" si="12"/>
        <v>48366</v>
      </c>
      <c r="B138" s="2">
        <f t="shared" si="13"/>
        <v>120811.72478994646</v>
      </c>
      <c r="C138" s="3">
        <v>2.6249999999999999E-2</v>
      </c>
      <c r="D138" s="2">
        <v>682.81</v>
      </c>
      <c r="E138" s="2">
        <f t="shared" si="14"/>
        <v>264.27564797800784</v>
      </c>
      <c r="F138" s="2">
        <f t="shared" si="15"/>
        <v>418.53435202199211</v>
      </c>
    </row>
    <row r="139" spans="1:6" x14ac:dyDescent="0.2">
      <c r="A139" s="1">
        <f t="shared" si="12"/>
        <v>48396</v>
      </c>
      <c r="B139" s="2">
        <f t="shared" si="13"/>
        <v>120393.19043792447</v>
      </c>
      <c r="C139" s="3">
        <v>2.6249999999999999E-2</v>
      </c>
      <c r="D139" s="2">
        <v>682.81</v>
      </c>
      <c r="E139" s="2">
        <f t="shared" si="14"/>
        <v>263.36010408295977</v>
      </c>
      <c r="F139" s="2">
        <f t="shared" si="15"/>
        <v>419.44989591704018</v>
      </c>
    </row>
    <row r="140" spans="1:6" x14ac:dyDescent="0.2">
      <c r="A140" s="1">
        <f t="shared" si="12"/>
        <v>48427</v>
      </c>
      <c r="B140" s="2">
        <f t="shared" si="13"/>
        <v>119973.74054200742</v>
      </c>
      <c r="C140" s="3">
        <v>2.6249999999999999E-2</v>
      </c>
      <c r="D140" s="2">
        <v>682.81</v>
      </c>
      <c r="E140" s="2">
        <f t="shared" si="14"/>
        <v>262.44255743564122</v>
      </c>
      <c r="F140" s="2">
        <f t="shared" si="15"/>
        <v>420.36744256435873</v>
      </c>
    </row>
    <row r="141" spans="1:6" x14ac:dyDescent="0.2">
      <c r="A141" s="1">
        <f t="shared" si="12"/>
        <v>48458</v>
      </c>
      <c r="B141" s="2">
        <f t="shared" si="13"/>
        <v>119553.37309944307</v>
      </c>
      <c r="C141" s="3">
        <v>2.6249999999999999E-2</v>
      </c>
      <c r="D141" s="2">
        <v>682.81</v>
      </c>
      <c r="E141" s="2">
        <f t="shared" si="14"/>
        <v>261.52300365503169</v>
      </c>
      <c r="F141" s="2">
        <f t="shared" si="15"/>
        <v>421.28699634496826</v>
      </c>
    </row>
    <row r="142" spans="1:6" x14ac:dyDescent="0.2">
      <c r="A142" s="1">
        <f t="shared" si="12"/>
        <v>48488</v>
      </c>
      <c r="B142" s="2">
        <f t="shared" si="13"/>
        <v>119132.0861030981</v>
      </c>
      <c r="C142" s="3">
        <v>2.6249999999999999E-2</v>
      </c>
      <c r="D142" s="2">
        <v>682.81</v>
      </c>
      <c r="E142" s="2">
        <f t="shared" si="14"/>
        <v>260.60143835052708</v>
      </c>
      <c r="F142" s="2">
        <f t="shared" si="15"/>
        <v>422.20856164947287</v>
      </c>
    </row>
    <row r="143" spans="1:6" x14ac:dyDescent="0.2">
      <c r="A143" s="1">
        <f t="shared" si="12"/>
        <v>48519</v>
      </c>
      <c r="B143" s="2">
        <f t="shared" si="13"/>
        <v>118709.87754144863</v>
      </c>
      <c r="C143" s="3">
        <v>2.6249999999999999E-2</v>
      </c>
      <c r="D143" s="2">
        <v>682.81</v>
      </c>
      <c r="E143" s="2">
        <f t="shared" si="14"/>
        <v>259.67785712191886</v>
      </c>
      <c r="F143" s="2">
        <f t="shared" si="15"/>
        <v>423.13214287808108</v>
      </c>
    </row>
    <row r="144" spans="1:6" x14ac:dyDescent="0.2">
      <c r="A144" s="1">
        <f t="shared" si="12"/>
        <v>48549</v>
      </c>
      <c r="B144" s="2">
        <f t="shared" si="13"/>
        <v>118286.74539857055</v>
      </c>
      <c r="C144" s="3">
        <v>2.6249999999999999E-2</v>
      </c>
      <c r="D144" s="2">
        <v>682.81</v>
      </c>
      <c r="E144" s="2">
        <f t="shared" si="14"/>
        <v>258.75225555937305</v>
      </c>
      <c r="F144" s="2">
        <f t="shared" si="15"/>
        <v>424.05774444062689</v>
      </c>
    </row>
    <row r="145" spans="1:6" x14ac:dyDescent="0.2">
      <c r="A145" s="1">
        <f t="shared" si="12"/>
        <v>48580</v>
      </c>
      <c r="B145" s="2">
        <f t="shared" si="13"/>
        <v>117862.68765412993</v>
      </c>
      <c r="C145" s="3">
        <v>2.6249999999999999E-2</v>
      </c>
      <c r="D145" s="2">
        <v>682.81</v>
      </c>
      <c r="E145" s="2">
        <f t="shared" si="14"/>
        <v>257.82462924340916</v>
      </c>
      <c r="F145" s="2">
        <f t="shared" si="15"/>
        <v>424.98537075659078</v>
      </c>
    </row>
    <row r="146" spans="1:6" x14ac:dyDescent="0.2">
      <c r="A146" s="1">
        <f t="shared" si="12"/>
        <v>48611</v>
      </c>
      <c r="B146" s="2">
        <f t="shared" si="13"/>
        <v>117437.70228337334</v>
      </c>
      <c r="C146" s="3">
        <v>2.6249999999999999E-2</v>
      </c>
      <c r="D146" s="2">
        <v>682.81</v>
      </c>
      <c r="E146" s="2">
        <f t="shared" si="14"/>
        <v>256.89497374487917</v>
      </c>
      <c r="F146" s="2">
        <f t="shared" si="15"/>
        <v>425.91502625512078</v>
      </c>
    </row>
    <row r="147" spans="1:6" x14ac:dyDescent="0.2">
      <c r="A147" s="1">
        <f t="shared" si="12"/>
        <v>48639</v>
      </c>
      <c r="B147" s="2">
        <f t="shared" si="13"/>
        <v>117011.78725711821</v>
      </c>
      <c r="C147" s="3">
        <v>2.6249999999999999E-2</v>
      </c>
      <c r="D147" s="2">
        <v>682.81</v>
      </c>
      <c r="E147" s="2">
        <f t="shared" si="14"/>
        <v>255.96328462494606</v>
      </c>
      <c r="F147" s="2">
        <f t="shared" si="15"/>
        <v>426.84671537505392</v>
      </c>
    </row>
    <row r="148" spans="1:6" x14ac:dyDescent="0.2">
      <c r="A148" s="1">
        <f t="shared" si="12"/>
        <v>48670</v>
      </c>
      <c r="B148" s="2">
        <f t="shared" si="13"/>
        <v>116584.94054174316</v>
      </c>
      <c r="C148" s="3">
        <v>2.6249999999999999E-2</v>
      </c>
      <c r="D148" s="2">
        <v>682.81</v>
      </c>
      <c r="E148" s="2">
        <f t="shared" si="14"/>
        <v>255.02955743506314</v>
      </c>
      <c r="F148" s="2">
        <f t="shared" si="15"/>
        <v>427.78044256493683</v>
      </c>
    </row>
    <row r="149" spans="1:6" x14ac:dyDescent="0.2">
      <c r="A149" s="1">
        <f t="shared" si="12"/>
        <v>48700</v>
      </c>
      <c r="B149" s="2">
        <f t="shared" si="13"/>
        <v>116157.16009917822</v>
      </c>
      <c r="C149" s="3">
        <v>2.6249999999999999E-2</v>
      </c>
      <c r="D149" s="2">
        <v>682.81</v>
      </c>
      <c r="E149" s="2">
        <f t="shared" si="14"/>
        <v>254.09378771695233</v>
      </c>
      <c r="F149" s="2">
        <f t="shared" si="15"/>
        <v>428.71621228304764</v>
      </c>
    </row>
    <row r="150" spans="1:6" x14ac:dyDescent="0.2">
      <c r="A150" s="1">
        <f t="shared" si="12"/>
        <v>48731</v>
      </c>
      <c r="B150" s="2">
        <f t="shared" si="13"/>
        <v>115728.44388689517</v>
      </c>
      <c r="C150" s="3">
        <v>2.6249999999999999E-2</v>
      </c>
      <c r="D150" s="2">
        <v>682.81</v>
      </c>
      <c r="E150" s="2">
        <f t="shared" si="14"/>
        <v>253.15597100258316</v>
      </c>
      <c r="F150" s="2">
        <f t="shared" si="15"/>
        <v>429.65402899741679</v>
      </c>
    </row>
    <row r="151" spans="1:6" x14ac:dyDescent="0.2">
      <c r="A151" s="1">
        <f t="shared" si="12"/>
        <v>48761</v>
      </c>
      <c r="B151" s="2">
        <f t="shared" si="13"/>
        <v>115298.78985789775</v>
      </c>
      <c r="C151" s="3">
        <v>2.6249999999999999E-2</v>
      </c>
      <c r="D151" s="2">
        <v>682.81</v>
      </c>
      <c r="E151" s="2">
        <f t="shared" si="14"/>
        <v>252.2161028141513</v>
      </c>
      <c r="F151" s="2">
        <f t="shared" si="15"/>
        <v>430.59389718584862</v>
      </c>
    </row>
    <row r="152" spans="1:6" x14ac:dyDescent="0.2">
      <c r="A152" s="1">
        <f t="shared" si="12"/>
        <v>48792</v>
      </c>
      <c r="B152" s="2">
        <f t="shared" si="13"/>
        <v>114868.19596071189</v>
      </c>
      <c r="C152" s="3">
        <v>2.6249999999999999E-2</v>
      </c>
      <c r="D152" s="2">
        <v>682.81</v>
      </c>
      <c r="E152" s="2">
        <f t="shared" si="14"/>
        <v>251.27417866405725</v>
      </c>
      <c r="F152" s="2">
        <f t="shared" si="15"/>
        <v>431.53582133594273</v>
      </c>
    </row>
    <row r="153" spans="1:6" x14ac:dyDescent="0.2">
      <c r="A153" s="1">
        <f t="shared" si="12"/>
        <v>48823</v>
      </c>
      <c r="B153" s="2">
        <f t="shared" si="13"/>
        <v>114436.66013937595</v>
      </c>
      <c r="C153" s="3">
        <v>2.6249999999999999E-2</v>
      </c>
      <c r="D153" s="2">
        <v>682.81</v>
      </c>
      <c r="E153" s="2">
        <f t="shared" si="14"/>
        <v>250.33019405488486</v>
      </c>
      <c r="F153" s="2">
        <f t="shared" si="15"/>
        <v>432.47980594511512</v>
      </c>
    </row>
    <row r="154" spans="1:6" x14ac:dyDescent="0.2">
      <c r="A154" s="1">
        <f t="shared" si="12"/>
        <v>48853</v>
      </c>
      <c r="B154" s="2">
        <f t="shared" si="13"/>
        <v>114004.18033343084</v>
      </c>
      <c r="C154" s="3">
        <v>2.6249999999999999E-2</v>
      </c>
      <c r="D154" s="2">
        <v>682.81</v>
      </c>
      <c r="E154" s="2">
        <f t="shared" si="14"/>
        <v>249.38414447937993</v>
      </c>
      <c r="F154" s="2">
        <f t="shared" si="15"/>
        <v>433.42585552062002</v>
      </c>
    </row>
    <row r="155" spans="1:6" x14ac:dyDescent="0.2">
      <c r="A155" s="1">
        <f t="shared" si="12"/>
        <v>48884</v>
      </c>
      <c r="B155" s="2">
        <f t="shared" si="13"/>
        <v>113570.75447791022</v>
      </c>
      <c r="C155" s="3">
        <v>2.6249999999999999E-2</v>
      </c>
      <c r="D155" s="2">
        <v>682.81</v>
      </c>
      <c r="E155" s="2">
        <f t="shared" si="14"/>
        <v>248.43602542042856</v>
      </c>
      <c r="F155" s="2">
        <f t="shared" si="15"/>
        <v>434.37397457957138</v>
      </c>
    </row>
    <row r="156" spans="1:6" x14ac:dyDescent="0.2">
      <c r="A156" s="1">
        <f t="shared" si="12"/>
        <v>48914</v>
      </c>
      <c r="B156" s="2">
        <f t="shared" si="13"/>
        <v>113136.38050333064</v>
      </c>
      <c r="C156" s="3">
        <v>2.6249999999999999E-2</v>
      </c>
      <c r="D156" s="2">
        <v>682.81</v>
      </c>
      <c r="E156" s="2">
        <f t="shared" si="14"/>
        <v>247.48583235103575</v>
      </c>
      <c r="F156" s="2">
        <f t="shared" si="15"/>
        <v>435.32416764896419</v>
      </c>
    </row>
    <row r="157" spans="1:6" x14ac:dyDescent="0.2">
      <c r="A157" s="1">
        <f t="shared" si="12"/>
        <v>48945</v>
      </c>
      <c r="B157" s="2">
        <f t="shared" si="13"/>
        <v>112701.05633568167</v>
      </c>
      <c r="C157" s="3">
        <v>2.6249999999999999E-2</v>
      </c>
      <c r="D157" s="2">
        <v>682.81</v>
      </c>
      <c r="E157" s="2">
        <f t="shared" si="14"/>
        <v>246.53356073430362</v>
      </c>
      <c r="F157" s="2">
        <f t="shared" si="15"/>
        <v>436.27643926569635</v>
      </c>
    </row>
    <row r="158" spans="1:6" x14ac:dyDescent="0.2">
      <c r="A158" s="1">
        <f t="shared" si="12"/>
        <v>48976</v>
      </c>
      <c r="B158" s="2">
        <f t="shared" si="13"/>
        <v>112264.77989641597</v>
      </c>
      <c r="C158" s="3">
        <v>2.6249999999999999E-2</v>
      </c>
      <c r="D158" s="2">
        <v>682.81</v>
      </c>
      <c r="E158" s="2">
        <f t="shared" si="14"/>
        <v>245.57920602340991</v>
      </c>
      <c r="F158" s="2">
        <f t="shared" si="15"/>
        <v>437.23079397659001</v>
      </c>
    </row>
    <row r="159" spans="1:6" x14ac:dyDescent="0.2">
      <c r="A159" s="1">
        <f t="shared" si="12"/>
        <v>49004</v>
      </c>
      <c r="B159" s="2">
        <f t="shared" si="13"/>
        <v>111827.54910243939</v>
      </c>
      <c r="C159" s="3">
        <v>2.6249999999999999E-2</v>
      </c>
      <c r="D159" s="2">
        <v>682.81</v>
      </c>
      <c r="E159" s="2">
        <f t="shared" si="14"/>
        <v>244.62276366158613</v>
      </c>
      <c r="F159" s="2">
        <f t="shared" si="15"/>
        <v>438.18723633841381</v>
      </c>
    </row>
    <row r="160" spans="1:6" x14ac:dyDescent="0.2">
      <c r="A160" s="1">
        <f t="shared" si="12"/>
        <v>49035</v>
      </c>
      <c r="B160" s="2">
        <f t="shared" si="13"/>
        <v>111389.36186610097</v>
      </c>
      <c r="C160" s="3">
        <v>2.6249999999999999E-2</v>
      </c>
      <c r="D160" s="2">
        <v>682.81</v>
      </c>
      <c r="E160" s="2">
        <f t="shared" si="14"/>
        <v>243.66422908209583</v>
      </c>
      <c r="F160" s="2">
        <f t="shared" si="15"/>
        <v>439.14577091790409</v>
      </c>
    </row>
    <row r="161" spans="1:6" x14ac:dyDescent="0.2">
      <c r="A161" s="1">
        <f t="shared" si="12"/>
        <v>49065</v>
      </c>
      <c r="B161" s="2">
        <f t="shared" si="13"/>
        <v>110950.21609518306</v>
      </c>
      <c r="C161" s="3">
        <v>2.6249999999999999E-2</v>
      </c>
      <c r="D161" s="2">
        <v>682.81</v>
      </c>
      <c r="E161" s="2">
        <f t="shared" si="14"/>
        <v>242.70359770821292</v>
      </c>
      <c r="F161" s="2">
        <f t="shared" si="15"/>
        <v>440.10640229178705</v>
      </c>
    </row>
    <row r="162" spans="1:6" x14ac:dyDescent="0.2">
      <c r="A162" s="1">
        <f t="shared" si="12"/>
        <v>49096</v>
      </c>
      <c r="B162" s="2">
        <f t="shared" si="13"/>
        <v>110510.10969289127</v>
      </c>
      <c r="C162" s="3">
        <v>2.6249999999999999E-2</v>
      </c>
      <c r="D162" s="2">
        <v>682.81</v>
      </c>
      <c r="E162" s="2">
        <f t="shared" si="14"/>
        <v>241.74086495319963</v>
      </c>
      <c r="F162" s="2">
        <f t="shared" si="15"/>
        <v>441.06913504680028</v>
      </c>
    </row>
    <row r="163" spans="1:6" x14ac:dyDescent="0.2">
      <c r="A163" s="1">
        <f t="shared" si="12"/>
        <v>49126</v>
      </c>
      <c r="B163" s="2">
        <f t="shared" si="13"/>
        <v>110069.04055784448</v>
      </c>
      <c r="C163" s="3">
        <v>2.6249999999999999E-2</v>
      </c>
      <c r="D163" s="2">
        <v>682.81</v>
      </c>
      <c r="E163" s="2">
        <f t="shared" si="14"/>
        <v>240.77602622028476</v>
      </c>
      <c r="F163" s="2">
        <f t="shared" si="15"/>
        <v>442.03397377971521</v>
      </c>
    </row>
    <row r="164" spans="1:6" x14ac:dyDescent="0.2">
      <c r="A164" s="1">
        <f t="shared" si="12"/>
        <v>49157</v>
      </c>
      <c r="B164" s="2">
        <f t="shared" si="13"/>
        <v>109627.00658406476</v>
      </c>
      <c r="C164" s="3">
        <v>2.6249999999999999E-2</v>
      </c>
      <c r="D164" s="2">
        <v>682.81</v>
      </c>
      <c r="E164" s="2">
        <f t="shared" si="14"/>
        <v>239.80907690264164</v>
      </c>
      <c r="F164" s="2">
        <f t="shared" si="15"/>
        <v>443.00092309735828</v>
      </c>
    </row>
    <row r="165" spans="1:6" x14ac:dyDescent="0.2">
      <c r="A165" s="1">
        <f t="shared" si="12"/>
        <v>49188</v>
      </c>
      <c r="B165" s="2">
        <f t="shared" si="13"/>
        <v>109184.00566096741</v>
      </c>
      <c r="C165" s="3">
        <v>2.6249999999999999E-2</v>
      </c>
      <c r="D165" s="2">
        <v>682.81</v>
      </c>
      <c r="E165" s="2">
        <f t="shared" si="14"/>
        <v>238.84001238336617</v>
      </c>
      <c r="F165" s="2">
        <f t="shared" si="15"/>
        <v>443.96998761663377</v>
      </c>
    </row>
    <row r="166" spans="1:6" x14ac:dyDescent="0.2">
      <c r="A166" s="1">
        <f t="shared" si="12"/>
        <v>49218</v>
      </c>
      <c r="B166" s="2">
        <f t="shared" si="13"/>
        <v>108740.03567335078</v>
      </c>
      <c r="C166" s="3">
        <v>2.6249999999999999E-2</v>
      </c>
      <c r="D166" s="2">
        <v>682.81</v>
      </c>
      <c r="E166" s="2">
        <f t="shared" si="14"/>
        <v>237.86882803545481</v>
      </c>
      <c r="F166" s="2">
        <f t="shared" si="15"/>
        <v>444.94117196454511</v>
      </c>
    </row>
    <row r="167" spans="1:6" x14ac:dyDescent="0.2">
      <c r="A167" s="1">
        <f t="shared" si="12"/>
        <v>49249</v>
      </c>
      <c r="B167" s="2">
        <f t="shared" si="13"/>
        <v>108295.09450138624</v>
      </c>
      <c r="C167" s="3">
        <v>2.6249999999999999E-2</v>
      </c>
      <c r="D167" s="2">
        <v>682.81</v>
      </c>
      <c r="E167" s="2">
        <f t="shared" si="14"/>
        <v>236.89551922178237</v>
      </c>
      <c r="F167" s="2">
        <f t="shared" si="15"/>
        <v>445.91448077821758</v>
      </c>
    </row>
    <row r="168" spans="1:6" x14ac:dyDescent="0.2">
      <c r="A168" s="1">
        <f t="shared" si="12"/>
        <v>49279</v>
      </c>
      <c r="B168" s="2">
        <f t="shared" si="13"/>
        <v>107849.18002060802</v>
      </c>
      <c r="C168" s="3">
        <v>2.6249999999999999E-2</v>
      </c>
      <c r="D168" s="2">
        <v>682.81</v>
      </c>
      <c r="E168" s="2">
        <f t="shared" si="14"/>
        <v>235.92008129508002</v>
      </c>
      <c r="F168" s="2">
        <f t="shared" si="15"/>
        <v>446.88991870491992</v>
      </c>
    </row>
    <row r="169" spans="1:6" x14ac:dyDescent="0.2">
      <c r="A169" s="1">
        <f t="shared" si="12"/>
        <v>49310</v>
      </c>
      <c r="B169" s="2">
        <f t="shared" si="13"/>
        <v>107402.2901019031</v>
      </c>
      <c r="C169" s="3">
        <v>2.6249999999999999E-2</v>
      </c>
      <c r="D169" s="2">
        <v>682.81</v>
      </c>
      <c r="E169" s="2">
        <f t="shared" si="14"/>
        <v>234.94250959791302</v>
      </c>
      <c r="F169" s="2">
        <f t="shared" si="15"/>
        <v>447.8674904020869</v>
      </c>
    </row>
    <row r="170" spans="1:6" x14ac:dyDescent="0.2">
      <c r="A170" s="1">
        <f t="shared" si="12"/>
        <v>49341</v>
      </c>
      <c r="B170" s="2">
        <f t="shared" si="13"/>
        <v>106954.42261150101</v>
      </c>
      <c r="C170" s="3">
        <v>2.6249999999999999E-2</v>
      </c>
      <c r="D170" s="2">
        <v>682.81</v>
      </c>
      <c r="E170" s="2">
        <f t="shared" si="14"/>
        <v>233.96279946265844</v>
      </c>
      <c r="F170" s="2">
        <f t="shared" si="15"/>
        <v>448.84720053734151</v>
      </c>
    </row>
    <row r="171" spans="1:6" x14ac:dyDescent="0.2">
      <c r="A171" s="1">
        <f t="shared" si="12"/>
        <v>49369</v>
      </c>
      <c r="B171" s="2">
        <f t="shared" si="13"/>
        <v>106505.57541096366</v>
      </c>
      <c r="C171" s="3">
        <v>2.6249999999999999E-2</v>
      </c>
      <c r="D171" s="2">
        <v>682.81</v>
      </c>
      <c r="E171" s="2">
        <f t="shared" si="14"/>
        <v>232.98094621148297</v>
      </c>
      <c r="F171" s="2">
        <f t="shared" si="15"/>
        <v>449.82905378851694</v>
      </c>
    </row>
    <row r="172" spans="1:6" x14ac:dyDescent="0.2">
      <c r="A172" s="1">
        <f t="shared" si="12"/>
        <v>49400</v>
      </c>
      <c r="B172" s="2">
        <f t="shared" si="13"/>
        <v>106055.74635717514</v>
      </c>
      <c r="C172" s="3">
        <v>2.6249999999999999E-2</v>
      </c>
      <c r="D172" s="2">
        <v>682.81</v>
      </c>
      <c r="E172" s="2">
        <f t="shared" si="14"/>
        <v>231.99694515632061</v>
      </c>
      <c r="F172" s="2">
        <f t="shared" si="15"/>
        <v>450.81305484367931</v>
      </c>
    </row>
    <row r="173" spans="1:6" x14ac:dyDescent="0.2">
      <c r="A173" s="1">
        <f t="shared" si="12"/>
        <v>49430</v>
      </c>
      <c r="B173" s="2">
        <f t="shared" si="13"/>
        <v>105604.93330233147</v>
      </c>
      <c r="C173" s="3">
        <v>2.6249999999999999E-2</v>
      </c>
      <c r="D173" s="2">
        <v>682.81</v>
      </c>
      <c r="E173" s="2">
        <f t="shared" si="14"/>
        <v>231.01079159885006</v>
      </c>
      <c r="F173" s="2">
        <f t="shared" si="15"/>
        <v>451.79920840114988</v>
      </c>
    </row>
    <row r="174" spans="1:6" x14ac:dyDescent="0.2">
      <c r="A174" s="1">
        <f t="shared" si="12"/>
        <v>49461</v>
      </c>
      <c r="B174" s="2">
        <f t="shared" si="13"/>
        <v>105153.13409393032</v>
      </c>
      <c r="C174" s="3">
        <v>2.6249999999999999E-2</v>
      </c>
      <c r="D174" s="2">
        <v>682.81</v>
      </c>
      <c r="E174" s="2">
        <f t="shared" si="14"/>
        <v>230.02248083047255</v>
      </c>
      <c r="F174" s="2">
        <f t="shared" si="15"/>
        <v>452.7875191695274</v>
      </c>
    </row>
    <row r="175" spans="1:6" x14ac:dyDescent="0.2">
      <c r="A175" s="1">
        <f t="shared" si="12"/>
        <v>49491</v>
      </c>
      <c r="B175" s="2">
        <f t="shared" si="13"/>
        <v>104700.3465747608</v>
      </c>
      <c r="C175" s="3">
        <v>2.6249999999999999E-2</v>
      </c>
      <c r="D175" s="2">
        <v>682.81</v>
      </c>
      <c r="E175" s="2">
        <f t="shared" si="14"/>
        <v>229.03200813228923</v>
      </c>
      <c r="F175" s="2">
        <f t="shared" si="15"/>
        <v>453.77799186771074</v>
      </c>
    </row>
    <row r="176" spans="1:6" x14ac:dyDescent="0.2">
      <c r="A176" s="1">
        <f t="shared" si="12"/>
        <v>49522</v>
      </c>
      <c r="B176" s="2">
        <f t="shared" si="13"/>
        <v>104246.56858289309</v>
      </c>
      <c r="C176" s="3">
        <v>2.6249999999999999E-2</v>
      </c>
      <c r="D176" s="2">
        <v>682.81</v>
      </c>
      <c r="E176" s="2">
        <f t="shared" si="14"/>
        <v>228.0393687750786</v>
      </c>
      <c r="F176" s="2">
        <f t="shared" si="15"/>
        <v>454.77063122492132</v>
      </c>
    </row>
    <row r="177" spans="1:6" x14ac:dyDescent="0.2">
      <c r="A177" s="1">
        <f t="shared" si="12"/>
        <v>49553</v>
      </c>
      <c r="B177" s="2">
        <f t="shared" si="13"/>
        <v>103791.79795166817</v>
      </c>
      <c r="C177" s="3">
        <v>2.6249999999999999E-2</v>
      </c>
      <c r="D177" s="2">
        <v>682.81</v>
      </c>
      <c r="E177" s="2">
        <f t="shared" si="14"/>
        <v>227.04455801927409</v>
      </c>
      <c r="F177" s="2">
        <f t="shared" si="15"/>
        <v>455.76544198072588</v>
      </c>
    </row>
    <row r="178" spans="1:6" x14ac:dyDescent="0.2">
      <c r="A178" s="1">
        <f t="shared" si="12"/>
        <v>49583</v>
      </c>
      <c r="B178" s="2">
        <f t="shared" si="13"/>
        <v>103336.03250968744</v>
      </c>
      <c r="C178" s="3">
        <v>2.6249999999999999E-2</v>
      </c>
      <c r="D178" s="2">
        <v>682.81</v>
      </c>
      <c r="E178" s="2">
        <f t="shared" si="14"/>
        <v>226.04757111494126</v>
      </c>
      <c r="F178" s="2">
        <f t="shared" si="15"/>
        <v>456.76242888505868</v>
      </c>
    </row>
    <row r="179" spans="1:6" x14ac:dyDescent="0.2">
      <c r="A179" s="1">
        <f t="shared" si="12"/>
        <v>49614</v>
      </c>
      <c r="B179" s="2">
        <f t="shared" si="13"/>
        <v>102879.27008080238</v>
      </c>
      <c r="C179" s="3">
        <v>2.6249999999999999E-2</v>
      </c>
      <c r="D179" s="2">
        <v>682.81</v>
      </c>
      <c r="E179" s="2">
        <f t="shared" si="14"/>
        <v>225.04840330175517</v>
      </c>
      <c r="F179" s="2">
        <f t="shared" si="15"/>
        <v>457.76159669824477</v>
      </c>
    </row>
    <row r="180" spans="1:6" x14ac:dyDescent="0.2">
      <c r="A180" s="1">
        <f t="shared" si="12"/>
        <v>49644</v>
      </c>
      <c r="B180" s="2">
        <f t="shared" si="13"/>
        <v>102421.50848410414</v>
      </c>
      <c r="C180" s="3">
        <v>2.6249999999999999E-2</v>
      </c>
      <c r="D180" s="2">
        <v>682.81</v>
      </c>
      <c r="E180" s="2">
        <f t="shared" si="14"/>
        <v>224.04704980897779</v>
      </c>
      <c r="F180" s="2">
        <f t="shared" si="15"/>
        <v>458.76295019102213</v>
      </c>
    </row>
    <row r="181" spans="1:6" x14ac:dyDescent="0.2">
      <c r="A181" s="1">
        <f t="shared" si="12"/>
        <v>49675</v>
      </c>
      <c r="B181" s="2">
        <f t="shared" si="13"/>
        <v>101962.74553391311</v>
      </c>
      <c r="C181" s="3">
        <v>2.6249999999999999E-2</v>
      </c>
      <c r="D181" s="2">
        <v>682.81</v>
      </c>
      <c r="E181" s="2">
        <f t="shared" si="14"/>
        <v>223.04350585543492</v>
      </c>
      <c r="F181" s="2">
        <f t="shared" si="15"/>
        <v>459.76649414456506</v>
      </c>
    </row>
    <row r="182" spans="1:6" x14ac:dyDescent="0.2">
      <c r="A182" s="1">
        <f t="shared" si="12"/>
        <v>49706</v>
      </c>
      <c r="B182" s="2">
        <f t="shared" si="13"/>
        <v>101502.97903976854</v>
      </c>
      <c r="C182" s="3">
        <v>2.6249999999999999E-2</v>
      </c>
      <c r="D182" s="2">
        <v>682.81</v>
      </c>
      <c r="E182" s="2">
        <f t="shared" si="14"/>
        <v>222.03776664949368</v>
      </c>
      <c r="F182" s="2">
        <f t="shared" si="15"/>
        <v>460.77223335050627</v>
      </c>
    </row>
    <row r="183" spans="1:6" x14ac:dyDescent="0.2">
      <c r="A183" s="1">
        <f t="shared" si="12"/>
        <v>49735</v>
      </c>
      <c r="B183" s="2">
        <f t="shared" si="13"/>
        <v>101042.20680641803</v>
      </c>
      <c r="C183" s="3">
        <v>2.6249999999999999E-2</v>
      </c>
      <c r="D183" s="2">
        <v>682.81</v>
      </c>
      <c r="E183" s="2">
        <f t="shared" si="14"/>
        <v>221.02982738903944</v>
      </c>
      <c r="F183" s="2">
        <f t="shared" si="15"/>
        <v>461.78017261096051</v>
      </c>
    </row>
    <row r="184" spans="1:6" x14ac:dyDescent="0.2">
      <c r="A184" s="1">
        <f t="shared" si="12"/>
        <v>49766</v>
      </c>
      <c r="B184" s="2">
        <f t="shared" si="13"/>
        <v>100580.42663380707</v>
      </c>
      <c r="C184" s="3">
        <v>2.6249999999999999E-2</v>
      </c>
      <c r="D184" s="2">
        <v>682.81</v>
      </c>
      <c r="E184" s="2">
        <f t="shared" si="14"/>
        <v>220.01968326145294</v>
      </c>
      <c r="F184" s="2">
        <f t="shared" si="15"/>
        <v>462.79031673854701</v>
      </c>
    </row>
    <row r="185" spans="1:6" x14ac:dyDescent="0.2">
      <c r="A185" s="1">
        <f t="shared" si="12"/>
        <v>49796</v>
      </c>
      <c r="B185" s="2">
        <f t="shared" si="13"/>
        <v>100117.63631706852</v>
      </c>
      <c r="C185" s="3">
        <v>2.6249999999999999E-2</v>
      </c>
      <c r="D185" s="2">
        <v>682.81</v>
      </c>
      <c r="E185" s="2">
        <f t="shared" si="14"/>
        <v>219.00732944358737</v>
      </c>
      <c r="F185" s="2">
        <f t="shared" si="15"/>
        <v>463.80267055641258</v>
      </c>
    </row>
    <row r="186" spans="1:6" x14ac:dyDescent="0.2">
      <c r="A186" s="1">
        <f t="shared" si="12"/>
        <v>49827</v>
      </c>
      <c r="B186" s="2">
        <f t="shared" si="13"/>
        <v>99653.83364651211</v>
      </c>
      <c r="C186" s="3">
        <v>2.6249999999999999E-2</v>
      </c>
      <c r="D186" s="2">
        <v>682.81</v>
      </c>
      <c r="E186" s="2">
        <f t="shared" si="14"/>
        <v>217.99276110174523</v>
      </c>
      <c r="F186" s="2">
        <f t="shared" si="15"/>
        <v>464.81723889825469</v>
      </c>
    </row>
    <row r="187" spans="1:6" x14ac:dyDescent="0.2">
      <c r="A187" s="1">
        <f t="shared" si="12"/>
        <v>49857</v>
      </c>
      <c r="B187" s="2">
        <f t="shared" si="13"/>
        <v>99189.016407613861</v>
      </c>
      <c r="C187" s="3">
        <v>2.6249999999999999E-2</v>
      </c>
      <c r="D187" s="2">
        <v>682.81</v>
      </c>
      <c r="E187" s="2">
        <f t="shared" si="14"/>
        <v>216.97597339165529</v>
      </c>
      <c r="F187" s="2">
        <f t="shared" si="15"/>
        <v>465.83402660834463</v>
      </c>
    </row>
    <row r="188" spans="1:6" x14ac:dyDescent="0.2">
      <c r="A188" s="1">
        <f t="shared" si="12"/>
        <v>49888</v>
      </c>
      <c r="B188" s="2">
        <f t="shared" si="13"/>
        <v>98723.182381005521</v>
      </c>
      <c r="C188" s="3">
        <v>2.6249999999999999E-2</v>
      </c>
      <c r="D188" s="2">
        <v>682.81</v>
      </c>
      <c r="E188" s="2">
        <f t="shared" si="14"/>
        <v>215.95696145844954</v>
      </c>
      <c r="F188" s="2">
        <f t="shared" si="15"/>
        <v>466.8530385415504</v>
      </c>
    </row>
    <row r="189" spans="1:6" x14ac:dyDescent="0.2">
      <c r="A189" s="1">
        <f t="shared" si="12"/>
        <v>49919</v>
      </c>
      <c r="B189" s="2">
        <f t="shared" si="13"/>
        <v>98256.329342463971</v>
      </c>
      <c r="C189" s="3">
        <v>2.6249999999999999E-2</v>
      </c>
      <c r="D189" s="2">
        <v>682.81</v>
      </c>
      <c r="E189" s="2">
        <f t="shared" si="14"/>
        <v>214.93572043663991</v>
      </c>
      <c r="F189" s="2">
        <f t="shared" si="15"/>
        <v>467.87427956336001</v>
      </c>
    </row>
    <row r="190" spans="1:6" x14ac:dyDescent="0.2">
      <c r="A190" s="1">
        <f t="shared" si="12"/>
        <v>49949</v>
      </c>
      <c r="B190" s="2">
        <f t="shared" si="13"/>
        <v>97788.455062900612</v>
      </c>
      <c r="C190" s="3">
        <v>2.6249999999999999E-2</v>
      </c>
      <c r="D190" s="2">
        <v>682.81</v>
      </c>
      <c r="E190" s="2">
        <f t="shared" si="14"/>
        <v>213.91224545009507</v>
      </c>
      <c r="F190" s="2">
        <f t="shared" si="15"/>
        <v>468.8977545499049</v>
      </c>
    </row>
    <row r="191" spans="1:6" x14ac:dyDescent="0.2">
      <c r="A191" s="1">
        <f t="shared" si="12"/>
        <v>49980</v>
      </c>
      <c r="B191" s="2">
        <f t="shared" si="13"/>
        <v>97319.557308350704</v>
      </c>
      <c r="C191" s="3">
        <v>2.6249999999999999E-2</v>
      </c>
      <c r="D191" s="2">
        <v>682.81</v>
      </c>
      <c r="E191" s="2">
        <f t="shared" si="14"/>
        <v>212.88653161201714</v>
      </c>
      <c r="F191" s="2">
        <f t="shared" si="15"/>
        <v>469.92346838798278</v>
      </c>
    </row>
    <row r="192" spans="1:6" x14ac:dyDescent="0.2">
      <c r="A192" s="1">
        <f t="shared" si="12"/>
        <v>50010</v>
      </c>
      <c r="B192" s="2">
        <f t="shared" si="13"/>
        <v>96849.633839962728</v>
      </c>
      <c r="C192" s="3">
        <v>2.6249999999999999E-2</v>
      </c>
      <c r="D192" s="2">
        <v>682.81</v>
      </c>
      <c r="E192" s="2">
        <f t="shared" si="14"/>
        <v>211.85857402491845</v>
      </c>
      <c r="F192" s="2">
        <f t="shared" si="15"/>
        <v>470.95142597508152</v>
      </c>
    </row>
    <row r="193" spans="1:6" x14ac:dyDescent="0.2">
      <c r="A193" s="1">
        <f t="shared" si="12"/>
        <v>50041</v>
      </c>
      <c r="B193" s="2">
        <f t="shared" si="13"/>
        <v>96378.682413987641</v>
      </c>
      <c r="C193" s="3">
        <v>2.6249999999999999E-2</v>
      </c>
      <c r="D193" s="2">
        <v>682.81</v>
      </c>
      <c r="E193" s="2">
        <f t="shared" si="14"/>
        <v>210.82836778059794</v>
      </c>
      <c r="F193" s="2">
        <f t="shared" si="15"/>
        <v>471.981632219402</v>
      </c>
    </row>
    <row r="194" spans="1:6" x14ac:dyDescent="0.2">
      <c r="A194" s="1">
        <f t="shared" si="12"/>
        <v>50072</v>
      </c>
      <c r="B194" s="2">
        <f t="shared" si="13"/>
        <v>95906.700781768232</v>
      </c>
      <c r="C194" s="3">
        <v>2.6249999999999999E-2</v>
      </c>
      <c r="D194" s="2">
        <v>682.81</v>
      </c>
      <c r="E194" s="2">
        <f t="shared" si="14"/>
        <v>209.79590796011797</v>
      </c>
      <c r="F194" s="2">
        <f t="shared" si="15"/>
        <v>473.01409203988197</v>
      </c>
    </row>
    <row r="195" spans="1:6" x14ac:dyDescent="0.2">
      <c r="A195" s="1">
        <f t="shared" si="12"/>
        <v>50100</v>
      </c>
      <c r="B195" s="2">
        <f t="shared" si="13"/>
        <v>95433.686689728347</v>
      </c>
      <c r="C195" s="3">
        <v>2.6249999999999999E-2</v>
      </c>
      <c r="D195" s="2">
        <v>682.81</v>
      </c>
      <c r="E195" s="2">
        <f t="shared" si="14"/>
        <v>208.76118963378073</v>
      </c>
      <c r="F195" s="2">
        <f t="shared" si="15"/>
        <v>474.04881036621919</v>
      </c>
    </row>
    <row r="196" spans="1:6" x14ac:dyDescent="0.2">
      <c r="A196" s="1">
        <f t="shared" si="12"/>
        <v>50131</v>
      </c>
      <c r="B196" s="2">
        <f t="shared" si="13"/>
        <v>94959.637879362126</v>
      </c>
      <c r="C196" s="3">
        <v>2.6249999999999999E-2</v>
      </c>
      <c r="D196" s="2">
        <v>682.81</v>
      </c>
      <c r="E196" s="2">
        <f t="shared" si="14"/>
        <v>207.72420786110462</v>
      </c>
      <c r="F196" s="2">
        <f t="shared" si="15"/>
        <v>475.08579213889533</v>
      </c>
    </row>
    <row r="197" spans="1:6" x14ac:dyDescent="0.2">
      <c r="A197" s="1">
        <f t="shared" si="12"/>
        <v>50161</v>
      </c>
      <c r="B197" s="2">
        <f t="shared" si="13"/>
        <v>94484.55208722323</v>
      </c>
      <c r="C197" s="3">
        <v>2.6249999999999999E-2</v>
      </c>
      <c r="D197" s="2">
        <v>682.81</v>
      </c>
      <c r="E197" s="2">
        <f t="shared" si="14"/>
        <v>206.68495769080079</v>
      </c>
      <c r="F197" s="2">
        <f t="shared" si="15"/>
        <v>476.12504230919916</v>
      </c>
    </row>
    <row r="198" spans="1:6" x14ac:dyDescent="0.2">
      <c r="A198" s="1">
        <f t="shared" si="12"/>
        <v>50192</v>
      </c>
      <c r="B198" s="2">
        <f t="shared" si="13"/>
        <v>94008.427044914031</v>
      </c>
      <c r="C198" s="3">
        <v>2.6249999999999999E-2</v>
      </c>
      <c r="D198" s="2">
        <v>682.81</v>
      </c>
      <c r="E198" s="2">
        <f t="shared" si="14"/>
        <v>205.64343416074942</v>
      </c>
      <c r="F198" s="2">
        <f t="shared" si="15"/>
        <v>477.16656583925055</v>
      </c>
    </row>
    <row r="199" spans="1:6" x14ac:dyDescent="0.2">
      <c r="A199" s="1">
        <f t="shared" si="12"/>
        <v>50222</v>
      </c>
      <c r="B199" s="2">
        <f t="shared" si="13"/>
        <v>93531.260479074786</v>
      </c>
      <c r="C199" s="3">
        <v>2.6249999999999999E-2</v>
      </c>
      <c r="D199" s="2">
        <v>682.81</v>
      </c>
      <c r="E199" s="2">
        <f t="shared" si="14"/>
        <v>204.59963229797609</v>
      </c>
      <c r="F199" s="2">
        <f t="shared" si="15"/>
        <v>478.21036770202386</v>
      </c>
    </row>
    <row r="200" spans="1:6" x14ac:dyDescent="0.2">
      <c r="A200" s="1">
        <f t="shared" si="12"/>
        <v>50253</v>
      </c>
      <c r="B200" s="2">
        <f t="shared" si="13"/>
        <v>93053.050111372766</v>
      </c>
      <c r="C200" s="3">
        <v>2.6249999999999999E-2</v>
      </c>
      <c r="D200" s="2">
        <v>682.81</v>
      </c>
      <c r="E200" s="2">
        <f t="shared" si="14"/>
        <v>203.5535471186279</v>
      </c>
      <c r="F200" s="2">
        <f t="shared" si="15"/>
        <v>479.25645288137207</v>
      </c>
    </row>
    <row r="201" spans="1:6" x14ac:dyDescent="0.2">
      <c r="A201" s="1">
        <f t="shared" ref="A201:A264" si="16">DATE(YEAR(A200),MONTH(A200)+1,1)</f>
        <v>50284</v>
      </c>
      <c r="B201" s="2">
        <f t="shared" ref="B201:B264" si="17">B200-F200</f>
        <v>92573.793658491399</v>
      </c>
      <c r="C201" s="3">
        <v>2.6249999999999999E-2</v>
      </c>
      <c r="D201" s="2">
        <v>682.81</v>
      </c>
      <c r="E201" s="2">
        <f t="shared" ref="E201:E264" si="18">B201*(C201/12)</f>
        <v>202.50517362794992</v>
      </c>
      <c r="F201" s="2">
        <f t="shared" ref="F201:F264" si="19">+D201-E201</f>
        <v>480.30482637205</v>
      </c>
    </row>
    <row r="202" spans="1:6" x14ac:dyDescent="0.2">
      <c r="A202" s="1">
        <f t="shared" si="16"/>
        <v>50314</v>
      </c>
      <c r="B202" s="2">
        <f t="shared" si="17"/>
        <v>92093.488832119343</v>
      </c>
      <c r="C202" s="3">
        <v>2.6249999999999999E-2</v>
      </c>
      <c r="D202" s="2">
        <v>682.81</v>
      </c>
      <c r="E202" s="2">
        <f t="shared" si="18"/>
        <v>201.45450682026103</v>
      </c>
      <c r="F202" s="2">
        <f t="shared" si="19"/>
        <v>481.35549317973891</v>
      </c>
    </row>
    <row r="203" spans="1:6" x14ac:dyDescent="0.2">
      <c r="A203" s="1">
        <f t="shared" si="16"/>
        <v>50345</v>
      </c>
      <c r="B203" s="2">
        <f t="shared" si="17"/>
        <v>91612.133338939602</v>
      </c>
      <c r="C203" s="3">
        <v>2.6249999999999999E-2</v>
      </c>
      <c r="D203" s="2">
        <v>682.81</v>
      </c>
      <c r="E203" s="2">
        <f t="shared" si="18"/>
        <v>200.40154167893036</v>
      </c>
      <c r="F203" s="2">
        <f t="shared" si="19"/>
        <v>482.40845832106959</v>
      </c>
    </row>
    <row r="204" spans="1:6" x14ac:dyDescent="0.2">
      <c r="A204" s="1">
        <f t="shared" si="16"/>
        <v>50375</v>
      </c>
      <c r="B204" s="2">
        <f t="shared" si="17"/>
        <v>91129.724880618538</v>
      </c>
      <c r="C204" s="3">
        <v>2.6249999999999999E-2</v>
      </c>
      <c r="D204" s="2">
        <v>682.81</v>
      </c>
      <c r="E204" s="2">
        <f t="shared" si="18"/>
        <v>199.34627317635304</v>
      </c>
      <c r="F204" s="2">
        <f t="shared" si="19"/>
        <v>483.46372682364688</v>
      </c>
    </row>
    <row r="205" spans="1:6" x14ac:dyDescent="0.2">
      <c r="A205" s="1">
        <f t="shared" si="16"/>
        <v>50406</v>
      </c>
      <c r="B205" s="2">
        <f t="shared" si="17"/>
        <v>90646.261153794898</v>
      </c>
      <c r="C205" s="3">
        <v>2.6249999999999999E-2</v>
      </c>
      <c r="D205" s="2">
        <v>682.81</v>
      </c>
      <c r="E205" s="2">
        <f t="shared" si="18"/>
        <v>198.28869627392632</v>
      </c>
      <c r="F205" s="2">
        <f t="shared" si="19"/>
        <v>484.5213037260736</v>
      </c>
    </row>
    <row r="206" spans="1:6" x14ac:dyDescent="0.2">
      <c r="A206" s="1">
        <f t="shared" si="16"/>
        <v>50437</v>
      </c>
      <c r="B206" s="2">
        <f t="shared" si="17"/>
        <v>90161.739850068829</v>
      </c>
      <c r="C206" s="3">
        <v>2.6249999999999999E-2</v>
      </c>
      <c r="D206" s="2">
        <v>682.81</v>
      </c>
      <c r="E206" s="2">
        <f t="shared" si="18"/>
        <v>197.22880592202554</v>
      </c>
      <c r="F206" s="2">
        <f t="shared" si="19"/>
        <v>485.58119407797437</v>
      </c>
    </row>
    <row r="207" spans="1:6" x14ac:dyDescent="0.2">
      <c r="A207" s="1">
        <f t="shared" si="16"/>
        <v>50465</v>
      </c>
      <c r="B207" s="2">
        <f t="shared" si="17"/>
        <v>89676.158655990861</v>
      </c>
      <c r="C207" s="3">
        <v>2.6249999999999999E-2</v>
      </c>
      <c r="D207" s="2">
        <v>682.81</v>
      </c>
      <c r="E207" s="2">
        <f t="shared" si="18"/>
        <v>196.16659705997998</v>
      </c>
      <c r="F207" s="2">
        <f t="shared" si="19"/>
        <v>486.64340294002</v>
      </c>
    </row>
    <row r="208" spans="1:6" x14ac:dyDescent="0.2">
      <c r="A208" s="1">
        <f t="shared" si="16"/>
        <v>50496</v>
      </c>
      <c r="B208" s="2">
        <f t="shared" si="17"/>
        <v>89189.515253050835</v>
      </c>
      <c r="C208" s="3">
        <v>2.6249999999999999E-2</v>
      </c>
      <c r="D208" s="2">
        <v>682.81</v>
      </c>
      <c r="E208" s="2">
        <f t="shared" si="18"/>
        <v>195.10206461604869</v>
      </c>
      <c r="F208" s="2">
        <f t="shared" si="19"/>
        <v>487.70793538395128</v>
      </c>
    </row>
    <row r="209" spans="1:6" x14ac:dyDescent="0.2">
      <c r="A209" s="1">
        <f t="shared" si="16"/>
        <v>50526</v>
      </c>
      <c r="B209" s="2">
        <f t="shared" si="17"/>
        <v>88701.807317666884</v>
      </c>
      <c r="C209" s="3">
        <v>2.6249999999999999E-2</v>
      </c>
      <c r="D209" s="2">
        <v>682.81</v>
      </c>
      <c r="E209" s="2">
        <f t="shared" si="18"/>
        <v>194.03520350739629</v>
      </c>
      <c r="F209" s="2">
        <f t="shared" si="19"/>
        <v>488.77479649260363</v>
      </c>
    </row>
    <row r="210" spans="1:6" x14ac:dyDescent="0.2">
      <c r="A210" s="1">
        <f t="shared" si="16"/>
        <v>50557</v>
      </c>
      <c r="B210" s="2">
        <f t="shared" si="17"/>
        <v>88213.032521174275</v>
      </c>
      <c r="C210" s="3">
        <v>2.6249999999999999E-2</v>
      </c>
      <c r="D210" s="2">
        <v>682.81</v>
      </c>
      <c r="E210" s="2">
        <f t="shared" si="18"/>
        <v>192.96600864006871</v>
      </c>
      <c r="F210" s="2">
        <f t="shared" si="19"/>
        <v>489.84399135993124</v>
      </c>
    </row>
    <row r="211" spans="1:6" x14ac:dyDescent="0.2">
      <c r="A211" s="1">
        <f t="shared" si="16"/>
        <v>50587</v>
      </c>
      <c r="B211" s="2">
        <f t="shared" si="17"/>
        <v>87723.188529814346</v>
      </c>
      <c r="C211" s="3">
        <v>2.6249999999999999E-2</v>
      </c>
      <c r="D211" s="2">
        <v>682.81</v>
      </c>
      <c r="E211" s="2">
        <f t="shared" si="18"/>
        <v>191.89447490896887</v>
      </c>
      <c r="F211" s="2">
        <f t="shared" si="19"/>
        <v>490.9155250910311</v>
      </c>
    </row>
    <row r="212" spans="1:6" x14ac:dyDescent="0.2">
      <c r="A212" s="1">
        <f t="shared" si="16"/>
        <v>50618</v>
      </c>
      <c r="B212" s="2">
        <f t="shared" si="17"/>
        <v>87232.27300472332</v>
      </c>
      <c r="C212" s="3">
        <v>2.6249999999999999E-2</v>
      </c>
      <c r="D212" s="2">
        <v>682.81</v>
      </c>
      <c r="E212" s="2">
        <f t="shared" si="18"/>
        <v>190.82059719783226</v>
      </c>
      <c r="F212" s="2">
        <f t="shared" si="19"/>
        <v>491.98940280216766</v>
      </c>
    </row>
    <row r="213" spans="1:6" x14ac:dyDescent="0.2">
      <c r="A213" s="1">
        <f t="shared" si="16"/>
        <v>50649</v>
      </c>
      <c r="B213" s="2">
        <f t="shared" si="17"/>
        <v>86740.283601921154</v>
      </c>
      <c r="C213" s="3">
        <v>2.6249999999999999E-2</v>
      </c>
      <c r="D213" s="2">
        <v>682.81</v>
      </c>
      <c r="E213" s="2">
        <f t="shared" si="18"/>
        <v>189.74437037920251</v>
      </c>
      <c r="F213" s="2">
        <f t="shared" si="19"/>
        <v>493.06562962079744</v>
      </c>
    </row>
    <row r="214" spans="1:6" x14ac:dyDescent="0.2">
      <c r="A214" s="1">
        <f t="shared" si="16"/>
        <v>50679</v>
      </c>
      <c r="B214" s="2">
        <f t="shared" si="17"/>
        <v>86247.21797230035</v>
      </c>
      <c r="C214" s="3">
        <v>2.6249999999999999E-2</v>
      </c>
      <c r="D214" s="2">
        <v>682.81</v>
      </c>
      <c r="E214" s="2">
        <f t="shared" si="18"/>
        <v>188.66578931440699</v>
      </c>
      <c r="F214" s="2">
        <f t="shared" si="19"/>
        <v>494.14421068559295</v>
      </c>
    </row>
    <row r="215" spans="1:6" x14ac:dyDescent="0.2">
      <c r="A215" s="1">
        <f t="shared" si="16"/>
        <v>50710</v>
      </c>
      <c r="B215" s="2">
        <f t="shared" si="17"/>
        <v>85753.073761614753</v>
      </c>
      <c r="C215" s="3">
        <v>2.6249999999999999E-2</v>
      </c>
      <c r="D215" s="2">
        <v>682.81</v>
      </c>
      <c r="E215" s="2">
        <f t="shared" si="18"/>
        <v>187.58484885353226</v>
      </c>
      <c r="F215" s="2">
        <f t="shared" si="19"/>
        <v>495.22515114646768</v>
      </c>
    </row>
    <row r="216" spans="1:6" x14ac:dyDescent="0.2">
      <c r="A216" s="1">
        <f t="shared" si="16"/>
        <v>50740</v>
      </c>
      <c r="B216" s="2">
        <f t="shared" si="17"/>
        <v>85257.848610468282</v>
      </c>
      <c r="C216" s="3">
        <v>2.6249999999999999E-2</v>
      </c>
      <c r="D216" s="2">
        <v>682.81</v>
      </c>
      <c r="E216" s="2">
        <f t="shared" si="18"/>
        <v>186.50154383539936</v>
      </c>
      <c r="F216" s="2">
        <f t="shared" si="19"/>
        <v>496.30845616460056</v>
      </c>
    </row>
    <row r="217" spans="1:6" x14ac:dyDescent="0.2">
      <c r="A217" s="1">
        <f t="shared" si="16"/>
        <v>50771</v>
      </c>
      <c r="B217" s="2">
        <f t="shared" si="17"/>
        <v>84761.540154303686</v>
      </c>
      <c r="C217" s="3">
        <v>2.6249999999999999E-2</v>
      </c>
      <c r="D217" s="2">
        <v>682.81</v>
      </c>
      <c r="E217" s="2">
        <f t="shared" si="18"/>
        <v>185.41586908753931</v>
      </c>
      <c r="F217" s="2">
        <f t="shared" si="19"/>
        <v>497.39413091246064</v>
      </c>
    </row>
    <row r="218" spans="1:6" x14ac:dyDescent="0.2">
      <c r="A218" s="1">
        <f t="shared" si="16"/>
        <v>50802</v>
      </c>
      <c r="B218" s="2">
        <f t="shared" si="17"/>
        <v>84264.146023391222</v>
      </c>
      <c r="C218" s="3">
        <v>2.6249999999999999E-2</v>
      </c>
      <c r="D218" s="2">
        <v>682.81</v>
      </c>
      <c r="E218" s="2">
        <f t="shared" si="18"/>
        <v>184.32781942616828</v>
      </c>
      <c r="F218" s="2">
        <f t="shared" si="19"/>
        <v>498.48218057383167</v>
      </c>
    </row>
    <row r="219" spans="1:6" x14ac:dyDescent="0.2">
      <c r="A219" s="1">
        <f t="shared" si="16"/>
        <v>50830</v>
      </c>
      <c r="B219" s="2">
        <f t="shared" si="17"/>
        <v>83765.66384281739</v>
      </c>
      <c r="C219" s="3">
        <v>2.6249999999999999E-2</v>
      </c>
      <c r="D219" s="2">
        <v>682.81</v>
      </c>
      <c r="E219" s="2">
        <f t="shared" si="18"/>
        <v>183.23738965616303</v>
      </c>
      <c r="F219" s="2">
        <f t="shared" si="19"/>
        <v>499.57261034383691</v>
      </c>
    </row>
    <row r="220" spans="1:6" x14ac:dyDescent="0.2">
      <c r="A220" s="1">
        <f t="shared" si="16"/>
        <v>50861</v>
      </c>
      <c r="B220" s="2">
        <f t="shared" si="17"/>
        <v>83266.091232473555</v>
      </c>
      <c r="C220" s="3">
        <v>2.6249999999999999E-2</v>
      </c>
      <c r="D220" s="2">
        <v>682.81</v>
      </c>
      <c r="E220" s="2">
        <f t="shared" si="18"/>
        <v>182.14457457103589</v>
      </c>
      <c r="F220" s="2">
        <f t="shared" si="19"/>
        <v>500.66542542896406</v>
      </c>
    </row>
    <row r="221" spans="1:6" x14ac:dyDescent="0.2">
      <c r="A221" s="1">
        <f t="shared" si="16"/>
        <v>50891</v>
      </c>
      <c r="B221" s="2">
        <f t="shared" si="17"/>
        <v>82765.425807044594</v>
      </c>
      <c r="C221" s="3">
        <v>2.6249999999999999E-2</v>
      </c>
      <c r="D221" s="2">
        <v>682.81</v>
      </c>
      <c r="E221" s="2">
        <f t="shared" si="18"/>
        <v>181.04936895291004</v>
      </c>
      <c r="F221" s="2">
        <f t="shared" si="19"/>
        <v>501.76063104708987</v>
      </c>
    </row>
    <row r="222" spans="1:6" x14ac:dyDescent="0.2">
      <c r="A222" s="1">
        <f t="shared" si="16"/>
        <v>50922</v>
      </c>
      <c r="B222" s="2">
        <f t="shared" si="17"/>
        <v>82263.665175997507</v>
      </c>
      <c r="C222" s="3">
        <v>2.6249999999999999E-2</v>
      </c>
      <c r="D222" s="2">
        <v>682.81</v>
      </c>
      <c r="E222" s="2">
        <f t="shared" si="18"/>
        <v>179.95176757249453</v>
      </c>
      <c r="F222" s="2">
        <f t="shared" si="19"/>
        <v>502.85823242750541</v>
      </c>
    </row>
    <row r="223" spans="1:6" x14ac:dyDescent="0.2">
      <c r="A223" s="1">
        <f t="shared" si="16"/>
        <v>50952</v>
      </c>
      <c r="B223" s="2">
        <f t="shared" si="17"/>
        <v>81760.806943570002</v>
      </c>
      <c r="C223" s="3">
        <v>2.6249999999999999E-2</v>
      </c>
      <c r="D223" s="2">
        <v>682.81</v>
      </c>
      <c r="E223" s="2">
        <f t="shared" si="18"/>
        <v>178.85176518905936</v>
      </c>
      <c r="F223" s="2">
        <f t="shared" si="19"/>
        <v>503.95823481094055</v>
      </c>
    </row>
    <row r="224" spans="1:6" x14ac:dyDescent="0.2">
      <c r="A224" s="1">
        <f t="shared" si="16"/>
        <v>50983</v>
      </c>
      <c r="B224" s="2">
        <f t="shared" si="17"/>
        <v>81256.848708759062</v>
      </c>
      <c r="C224" s="3">
        <v>2.6249999999999999E-2</v>
      </c>
      <c r="D224" s="2">
        <v>682.81</v>
      </c>
      <c r="E224" s="2">
        <f t="shared" si="18"/>
        <v>177.74935655041043</v>
      </c>
      <c r="F224" s="2">
        <f t="shared" si="19"/>
        <v>505.06064344958952</v>
      </c>
    </row>
    <row r="225" spans="1:6" x14ac:dyDescent="0.2">
      <c r="A225" s="1">
        <f t="shared" si="16"/>
        <v>51014</v>
      </c>
      <c r="B225" s="2">
        <f t="shared" si="17"/>
        <v>80751.788065309476</v>
      </c>
      <c r="C225" s="3">
        <v>2.6249999999999999E-2</v>
      </c>
      <c r="D225" s="2">
        <v>682.81</v>
      </c>
      <c r="E225" s="2">
        <f t="shared" si="18"/>
        <v>176.64453639286447</v>
      </c>
      <c r="F225" s="2">
        <f t="shared" si="19"/>
        <v>506.16546360713551</v>
      </c>
    </row>
    <row r="226" spans="1:6" x14ac:dyDescent="0.2">
      <c r="A226" s="1">
        <f t="shared" si="16"/>
        <v>51044</v>
      </c>
      <c r="B226" s="2">
        <f t="shared" si="17"/>
        <v>80245.622601702344</v>
      </c>
      <c r="C226" s="3">
        <v>2.6249999999999999E-2</v>
      </c>
      <c r="D226" s="2">
        <v>682.81</v>
      </c>
      <c r="E226" s="2">
        <f t="shared" si="18"/>
        <v>175.53729944122387</v>
      </c>
      <c r="F226" s="2">
        <f t="shared" si="19"/>
        <v>507.27270055877608</v>
      </c>
    </row>
    <row r="227" spans="1:6" x14ac:dyDescent="0.2">
      <c r="A227" s="1">
        <f t="shared" si="16"/>
        <v>51075</v>
      </c>
      <c r="B227" s="2">
        <f t="shared" si="17"/>
        <v>79738.349901143563</v>
      </c>
      <c r="C227" s="3">
        <v>2.6249999999999999E-2</v>
      </c>
      <c r="D227" s="2">
        <v>682.81</v>
      </c>
      <c r="E227" s="2">
        <f t="shared" si="18"/>
        <v>174.42764040875153</v>
      </c>
      <c r="F227" s="2">
        <f t="shared" si="19"/>
        <v>508.38235959124842</v>
      </c>
    </row>
    <row r="228" spans="1:6" x14ac:dyDescent="0.2">
      <c r="A228" s="1">
        <f t="shared" si="16"/>
        <v>51105</v>
      </c>
      <c r="B228" s="2">
        <f t="shared" si="17"/>
        <v>79229.967541552309</v>
      </c>
      <c r="C228" s="3">
        <v>2.6249999999999999E-2</v>
      </c>
      <c r="D228" s="2">
        <v>682.81</v>
      </c>
      <c r="E228" s="2">
        <f t="shared" si="18"/>
        <v>173.31555399714566</v>
      </c>
      <c r="F228" s="2">
        <f t="shared" si="19"/>
        <v>509.49444600285426</v>
      </c>
    </row>
    <row r="229" spans="1:6" x14ac:dyDescent="0.2">
      <c r="A229" s="1">
        <f t="shared" si="16"/>
        <v>51136</v>
      </c>
      <c r="B229" s="2">
        <f t="shared" si="17"/>
        <v>78720.47309554946</v>
      </c>
      <c r="C229" s="3">
        <v>2.6249999999999999E-2</v>
      </c>
      <c r="D229" s="2">
        <v>682.81</v>
      </c>
      <c r="E229" s="2">
        <f t="shared" si="18"/>
        <v>172.20103489651441</v>
      </c>
      <c r="F229" s="2">
        <f t="shared" si="19"/>
        <v>510.6089651034855</v>
      </c>
    </row>
    <row r="230" spans="1:6" x14ac:dyDescent="0.2">
      <c r="A230" s="1">
        <f t="shared" si="16"/>
        <v>51167</v>
      </c>
      <c r="B230" s="2">
        <f t="shared" si="17"/>
        <v>78209.864130445974</v>
      </c>
      <c r="C230" s="3">
        <v>2.6249999999999999E-2</v>
      </c>
      <c r="D230" s="2">
        <v>682.81</v>
      </c>
      <c r="E230" s="2">
        <f t="shared" si="18"/>
        <v>171.08407778535056</v>
      </c>
      <c r="F230" s="2">
        <f t="shared" si="19"/>
        <v>511.72592221464936</v>
      </c>
    </row>
    <row r="231" spans="1:6" x14ac:dyDescent="0.2">
      <c r="A231" s="1">
        <f t="shared" si="16"/>
        <v>51196</v>
      </c>
      <c r="B231" s="2">
        <f t="shared" si="17"/>
        <v>77698.138208231321</v>
      </c>
      <c r="C231" s="3">
        <v>2.6249999999999999E-2</v>
      </c>
      <c r="D231" s="2">
        <v>682.81</v>
      </c>
      <c r="E231" s="2">
        <f t="shared" si="18"/>
        <v>169.96467733050599</v>
      </c>
      <c r="F231" s="2">
        <f t="shared" si="19"/>
        <v>512.84532266949395</v>
      </c>
    </row>
    <row r="232" spans="1:6" x14ac:dyDescent="0.2">
      <c r="A232" s="1">
        <f t="shared" si="16"/>
        <v>51227</v>
      </c>
      <c r="B232" s="2">
        <f t="shared" si="17"/>
        <v>77185.292885561823</v>
      </c>
      <c r="C232" s="3">
        <v>2.6249999999999999E-2</v>
      </c>
      <c r="D232" s="2">
        <v>682.81</v>
      </c>
      <c r="E232" s="2">
        <f t="shared" si="18"/>
        <v>168.84282818716648</v>
      </c>
      <c r="F232" s="2">
        <f t="shared" si="19"/>
        <v>513.9671718128335</v>
      </c>
    </row>
    <row r="233" spans="1:6" x14ac:dyDescent="0.2">
      <c r="A233" s="1">
        <f t="shared" si="16"/>
        <v>51257</v>
      </c>
      <c r="B233" s="2">
        <f t="shared" si="17"/>
        <v>76671.325713748985</v>
      </c>
      <c r="C233" s="3">
        <v>2.6249999999999999E-2</v>
      </c>
      <c r="D233" s="2">
        <v>682.81</v>
      </c>
      <c r="E233" s="2">
        <f t="shared" si="18"/>
        <v>167.7185249988259</v>
      </c>
      <c r="F233" s="2">
        <f t="shared" si="19"/>
        <v>515.0914750011741</v>
      </c>
    </row>
    <row r="234" spans="1:6" x14ac:dyDescent="0.2">
      <c r="A234" s="1">
        <f t="shared" si="16"/>
        <v>51288</v>
      </c>
      <c r="B234" s="2">
        <f t="shared" si="17"/>
        <v>76156.234238747813</v>
      </c>
      <c r="C234" s="3">
        <v>2.6249999999999999E-2</v>
      </c>
      <c r="D234" s="2">
        <v>682.81</v>
      </c>
      <c r="E234" s="2">
        <f t="shared" si="18"/>
        <v>166.59176239726082</v>
      </c>
      <c r="F234" s="2">
        <f t="shared" si="19"/>
        <v>516.21823760273912</v>
      </c>
    </row>
    <row r="235" spans="1:6" x14ac:dyDescent="0.2">
      <c r="A235" s="1">
        <f t="shared" si="16"/>
        <v>51318</v>
      </c>
      <c r="B235" s="2">
        <f t="shared" si="17"/>
        <v>75640.016001145079</v>
      </c>
      <c r="C235" s="3">
        <v>2.6249999999999999E-2</v>
      </c>
      <c r="D235" s="2">
        <v>682.81</v>
      </c>
      <c r="E235" s="2">
        <f t="shared" si="18"/>
        <v>165.46253500250484</v>
      </c>
      <c r="F235" s="2">
        <f t="shared" si="19"/>
        <v>517.34746499749508</v>
      </c>
    </row>
    <row r="236" spans="1:6" x14ac:dyDescent="0.2">
      <c r="A236" s="1">
        <f t="shared" si="16"/>
        <v>51349</v>
      </c>
      <c r="B236" s="2">
        <f t="shared" si="17"/>
        <v>75122.668536147583</v>
      </c>
      <c r="C236" s="3">
        <v>2.6249999999999999E-2</v>
      </c>
      <c r="D236" s="2">
        <v>682.81</v>
      </c>
      <c r="E236" s="2">
        <f t="shared" si="18"/>
        <v>164.33083742282281</v>
      </c>
      <c r="F236" s="2">
        <f t="shared" si="19"/>
        <v>518.47916257717714</v>
      </c>
    </row>
    <row r="237" spans="1:6" x14ac:dyDescent="0.2">
      <c r="A237" s="1">
        <f t="shared" si="16"/>
        <v>51380</v>
      </c>
      <c r="B237" s="2">
        <f t="shared" si="17"/>
        <v>74604.189373570407</v>
      </c>
      <c r="C237" s="3">
        <v>2.6249999999999999E-2</v>
      </c>
      <c r="D237" s="2">
        <v>682.81</v>
      </c>
      <c r="E237" s="2">
        <f t="shared" si="18"/>
        <v>163.19666425468526</v>
      </c>
      <c r="F237" s="2">
        <f t="shared" si="19"/>
        <v>519.61333574531466</v>
      </c>
    </row>
    <row r="238" spans="1:6" x14ac:dyDescent="0.2">
      <c r="A238" s="1">
        <f t="shared" si="16"/>
        <v>51410</v>
      </c>
      <c r="B238" s="2">
        <f t="shared" si="17"/>
        <v>74084.576037825085</v>
      </c>
      <c r="C238" s="3">
        <v>2.6249999999999999E-2</v>
      </c>
      <c r="D238" s="2">
        <v>682.81</v>
      </c>
      <c r="E238" s="2">
        <f t="shared" si="18"/>
        <v>162.06001008274237</v>
      </c>
      <c r="F238" s="2">
        <f t="shared" si="19"/>
        <v>520.74998991725761</v>
      </c>
    </row>
    <row r="239" spans="1:6" x14ac:dyDescent="0.2">
      <c r="A239" s="1">
        <f t="shared" si="16"/>
        <v>51441</v>
      </c>
      <c r="B239" s="2">
        <f t="shared" si="17"/>
        <v>73563.826047907831</v>
      </c>
      <c r="C239" s="3">
        <v>2.6249999999999999E-2</v>
      </c>
      <c r="D239" s="2">
        <v>682.81</v>
      </c>
      <c r="E239" s="2">
        <f t="shared" si="18"/>
        <v>160.92086947979837</v>
      </c>
      <c r="F239" s="2">
        <f t="shared" si="19"/>
        <v>521.88913052020155</v>
      </c>
    </row>
    <row r="240" spans="1:6" x14ac:dyDescent="0.2">
      <c r="A240" s="1">
        <f t="shared" si="16"/>
        <v>51471</v>
      </c>
      <c r="B240" s="2">
        <f t="shared" si="17"/>
        <v>73041.936917387633</v>
      </c>
      <c r="C240" s="3">
        <v>2.6249999999999999E-2</v>
      </c>
      <c r="D240" s="2">
        <v>682.81</v>
      </c>
      <c r="E240" s="2">
        <f t="shared" si="18"/>
        <v>159.77923700678542</v>
      </c>
      <c r="F240" s="2">
        <f t="shared" si="19"/>
        <v>523.03076299321447</v>
      </c>
    </row>
    <row r="241" spans="1:6" x14ac:dyDescent="0.2">
      <c r="A241" s="1">
        <f t="shared" si="16"/>
        <v>51502</v>
      </c>
      <c r="B241" s="2">
        <f t="shared" si="17"/>
        <v>72518.906154394412</v>
      </c>
      <c r="C241" s="3">
        <v>2.6249999999999999E-2</v>
      </c>
      <c r="D241" s="2">
        <v>682.81</v>
      </c>
      <c r="E241" s="2">
        <f t="shared" si="18"/>
        <v>158.63510721273775</v>
      </c>
      <c r="F241" s="2">
        <f t="shared" si="19"/>
        <v>524.17489278726225</v>
      </c>
    </row>
    <row r="242" spans="1:6" x14ac:dyDescent="0.2">
      <c r="A242" s="1">
        <f t="shared" si="16"/>
        <v>51533</v>
      </c>
      <c r="B242" s="2">
        <f t="shared" si="17"/>
        <v>71994.731261607143</v>
      </c>
      <c r="C242" s="3">
        <v>2.6249999999999999E-2</v>
      </c>
      <c r="D242" s="2">
        <v>682.81</v>
      </c>
      <c r="E242" s="2">
        <f t="shared" si="18"/>
        <v>157.48847463476562</v>
      </c>
      <c r="F242" s="2">
        <f t="shared" si="19"/>
        <v>525.32152536523427</v>
      </c>
    </row>
    <row r="243" spans="1:6" x14ac:dyDescent="0.2">
      <c r="A243" s="1">
        <f t="shared" si="16"/>
        <v>51561</v>
      </c>
      <c r="B243" s="2">
        <f t="shared" si="17"/>
        <v>71469.409736241912</v>
      </c>
      <c r="C243" s="3">
        <v>2.6249999999999999E-2</v>
      </c>
      <c r="D243" s="2">
        <v>682.81</v>
      </c>
      <c r="E243" s="2">
        <f t="shared" si="18"/>
        <v>156.33933379802917</v>
      </c>
      <c r="F243" s="2">
        <f t="shared" si="19"/>
        <v>526.47066620197074</v>
      </c>
    </row>
    <row r="244" spans="1:6" x14ac:dyDescent="0.2">
      <c r="A244" s="1">
        <f t="shared" si="16"/>
        <v>51592</v>
      </c>
      <c r="B244" s="2">
        <f t="shared" si="17"/>
        <v>70942.939070039938</v>
      </c>
      <c r="C244" s="3">
        <v>2.6249999999999999E-2</v>
      </c>
      <c r="D244" s="2">
        <v>682.81</v>
      </c>
      <c r="E244" s="2">
        <f t="shared" si="18"/>
        <v>155.18767921571234</v>
      </c>
      <c r="F244" s="2">
        <f t="shared" si="19"/>
        <v>527.62232078428758</v>
      </c>
    </row>
    <row r="245" spans="1:6" x14ac:dyDescent="0.2">
      <c r="A245" s="1">
        <f t="shared" si="16"/>
        <v>51622</v>
      </c>
      <c r="B245" s="2">
        <f t="shared" si="17"/>
        <v>70415.316749255653</v>
      </c>
      <c r="C245" s="3">
        <v>2.6249999999999999E-2</v>
      </c>
      <c r="D245" s="2">
        <v>682.81</v>
      </c>
      <c r="E245" s="2">
        <f t="shared" si="18"/>
        <v>154.03350538899673</v>
      </c>
      <c r="F245" s="2">
        <f t="shared" si="19"/>
        <v>528.77649461100327</v>
      </c>
    </row>
    <row r="246" spans="1:6" x14ac:dyDescent="0.2">
      <c r="A246" s="1">
        <f t="shared" si="16"/>
        <v>51653</v>
      </c>
      <c r="B246" s="2">
        <f t="shared" si="17"/>
        <v>69886.540254644657</v>
      </c>
      <c r="C246" s="3">
        <v>2.6249999999999999E-2</v>
      </c>
      <c r="D246" s="2">
        <v>682.81</v>
      </c>
      <c r="E246" s="2">
        <f t="shared" si="18"/>
        <v>152.87680680703517</v>
      </c>
      <c r="F246" s="2">
        <f t="shared" si="19"/>
        <v>529.93319319296484</v>
      </c>
    </row>
    <row r="247" spans="1:6" x14ac:dyDescent="0.2">
      <c r="A247" s="1">
        <f t="shared" si="16"/>
        <v>51683</v>
      </c>
      <c r="B247" s="2">
        <f t="shared" si="17"/>
        <v>69356.607061451694</v>
      </c>
      <c r="C247" s="3">
        <v>2.6249999999999999E-2</v>
      </c>
      <c r="D247" s="2">
        <v>682.81</v>
      </c>
      <c r="E247" s="2">
        <f t="shared" si="18"/>
        <v>151.71757794692556</v>
      </c>
      <c r="F247" s="2">
        <f t="shared" si="19"/>
        <v>531.09242205307442</v>
      </c>
    </row>
    <row r="248" spans="1:6" x14ac:dyDescent="0.2">
      <c r="A248" s="1">
        <f t="shared" si="16"/>
        <v>51714</v>
      </c>
      <c r="B248" s="2">
        <f t="shared" si="17"/>
        <v>68825.514639398622</v>
      </c>
      <c r="C248" s="3">
        <v>2.6249999999999999E-2</v>
      </c>
      <c r="D248" s="2">
        <v>682.81</v>
      </c>
      <c r="E248" s="2">
        <f t="shared" si="18"/>
        <v>150.55581327368446</v>
      </c>
      <c r="F248" s="2">
        <f t="shared" si="19"/>
        <v>532.25418672631554</v>
      </c>
    </row>
    <row r="249" spans="1:6" x14ac:dyDescent="0.2">
      <c r="A249" s="1">
        <f t="shared" si="16"/>
        <v>51745</v>
      </c>
      <c r="B249" s="2">
        <f t="shared" si="17"/>
        <v>68293.260452672301</v>
      </c>
      <c r="C249" s="3">
        <v>2.6249999999999999E-2</v>
      </c>
      <c r="D249" s="2">
        <v>682.81</v>
      </c>
      <c r="E249" s="2">
        <f t="shared" si="18"/>
        <v>149.39150724022065</v>
      </c>
      <c r="F249" s="2">
        <f t="shared" si="19"/>
        <v>533.41849275977927</v>
      </c>
    </row>
    <row r="250" spans="1:6" x14ac:dyDescent="0.2">
      <c r="A250" s="1">
        <f t="shared" si="16"/>
        <v>51775</v>
      </c>
      <c r="B250" s="2">
        <f t="shared" si="17"/>
        <v>67759.841959912519</v>
      </c>
      <c r="C250" s="3">
        <v>2.6249999999999999E-2</v>
      </c>
      <c r="D250" s="2">
        <v>682.81</v>
      </c>
      <c r="E250" s="2">
        <f t="shared" si="18"/>
        <v>148.22465428730862</v>
      </c>
      <c r="F250" s="2">
        <f t="shared" si="19"/>
        <v>534.58534571269138</v>
      </c>
    </row>
    <row r="251" spans="1:6" x14ac:dyDescent="0.2">
      <c r="A251" s="1">
        <f t="shared" si="16"/>
        <v>51806</v>
      </c>
      <c r="B251" s="2">
        <f t="shared" si="17"/>
        <v>67225.256614199825</v>
      </c>
      <c r="C251" s="3">
        <v>2.6249999999999999E-2</v>
      </c>
      <c r="D251" s="2">
        <v>682.81</v>
      </c>
      <c r="E251" s="2">
        <f t="shared" si="18"/>
        <v>147.05524884356211</v>
      </c>
      <c r="F251" s="2">
        <f t="shared" si="19"/>
        <v>535.75475115643781</v>
      </c>
    </row>
    <row r="252" spans="1:6" x14ac:dyDescent="0.2">
      <c r="A252" s="1">
        <f t="shared" si="16"/>
        <v>51836</v>
      </c>
      <c r="B252" s="2">
        <f t="shared" si="17"/>
        <v>66689.501863043391</v>
      </c>
      <c r="C252" s="3">
        <v>2.6249999999999999E-2</v>
      </c>
      <c r="D252" s="2">
        <v>682.81</v>
      </c>
      <c r="E252" s="2">
        <f t="shared" si="18"/>
        <v>145.8832853254074</v>
      </c>
      <c r="F252" s="2">
        <f t="shared" si="19"/>
        <v>536.92671467459252</v>
      </c>
    </row>
    <row r="253" spans="1:6" x14ac:dyDescent="0.2">
      <c r="A253" s="1">
        <f t="shared" si="16"/>
        <v>51867</v>
      </c>
      <c r="B253" s="2">
        <f t="shared" si="17"/>
        <v>66152.575148368793</v>
      </c>
      <c r="C253" s="3">
        <v>2.6249999999999999E-2</v>
      </c>
      <c r="D253" s="2">
        <v>682.81</v>
      </c>
      <c r="E253" s="2">
        <f t="shared" si="18"/>
        <v>144.70875813705672</v>
      </c>
      <c r="F253" s="2">
        <f t="shared" si="19"/>
        <v>538.1012418629432</v>
      </c>
    </row>
    <row r="254" spans="1:6" x14ac:dyDescent="0.2">
      <c r="A254" s="1">
        <f t="shared" si="16"/>
        <v>51898</v>
      </c>
      <c r="B254" s="2">
        <f t="shared" si="17"/>
        <v>65614.473906505853</v>
      </c>
      <c r="C254" s="3">
        <v>2.6249999999999999E-2</v>
      </c>
      <c r="D254" s="2">
        <v>682.81</v>
      </c>
      <c r="E254" s="2">
        <f t="shared" si="18"/>
        <v>143.53166167048153</v>
      </c>
      <c r="F254" s="2">
        <f t="shared" si="19"/>
        <v>539.27833832951842</v>
      </c>
    </row>
    <row r="255" spans="1:6" x14ac:dyDescent="0.2">
      <c r="A255" s="1">
        <f t="shared" si="16"/>
        <v>51926</v>
      </c>
      <c r="B255" s="2">
        <f t="shared" si="17"/>
        <v>65075.195568176336</v>
      </c>
      <c r="C255" s="3">
        <v>2.6249999999999999E-2</v>
      </c>
      <c r="D255" s="2">
        <v>682.81</v>
      </c>
      <c r="E255" s="2">
        <f t="shared" si="18"/>
        <v>142.35199030538573</v>
      </c>
      <c r="F255" s="2">
        <f t="shared" si="19"/>
        <v>540.45800969461425</v>
      </c>
    </row>
    <row r="256" spans="1:6" x14ac:dyDescent="0.2">
      <c r="A256" s="1">
        <f t="shared" si="16"/>
        <v>51957</v>
      </c>
      <c r="B256" s="2">
        <f t="shared" si="17"/>
        <v>64534.73755848172</v>
      </c>
      <c r="C256" s="3">
        <v>2.6249999999999999E-2</v>
      </c>
      <c r="D256" s="2">
        <v>682.81</v>
      </c>
      <c r="E256" s="2">
        <f t="shared" si="18"/>
        <v>141.16973840917873</v>
      </c>
      <c r="F256" s="2">
        <f t="shared" si="19"/>
        <v>541.64026159082118</v>
      </c>
    </row>
    <row r="257" spans="1:6" x14ac:dyDescent="0.2">
      <c r="A257" s="1">
        <f t="shared" si="16"/>
        <v>51987</v>
      </c>
      <c r="B257" s="2">
        <f t="shared" si="17"/>
        <v>63993.097296890897</v>
      </c>
      <c r="C257" s="3">
        <v>2.6249999999999999E-2</v>
      </c>
      <c r="D257" s="2">
        <v>682.81</v>
      </c>
      <c r="E257" s="2">
        <f t="shared" si="18"/>
        <v>139.98490033694881</v>
      </c>
      <c r="F257" s="2">
        <f t="shared" si="19"/>
        <v>542.82509966305111</v>
      </c>
    </row>
    <row r="258" spans="1:6" x14ac:dyDescent="0.2">
      <c r="A258" s="1">
        <f t="shared" si="16"/>
        <v>52018</v>
      </c>
      <c r="B258" s="2">
        <f t="shared" si="17"/>
        <v>63450.272197227845</v>
      </c>
      <c r="C258" s="3">
        <v>2.6249999999999999E-2</v>
      </c>
      <c r="D258" s="2">
        <v>682.81</v>
      </c>
      <c r="E258" s="2">
        <f t="shared" si="18"/>
        <v>138.7974704314359</v>
      </c>
      <c r="F258" s="2">
        <f t="shared" si="19"/>
        <v>544.0125295685641</v>
      </c>
    </row>
    <row r="259" spans="1:6" x14ac:dyDescent="0.2">
      <c r="A259" s="1">
        <f t="shared" si="16"/>
        <v>52048</v>
      </c>
      <c r="B259" s="2">
        <f t="shared" si="17"/>
        <v>62906.25966765928</v>
      </c>
      <c r="C259" s="3">
        <v>2.6249999999999999E-2</v>
      </c>
      <c r="D259" s="2">
        <v>682.81</v>
      </c>
      <c r="E259" s="2">
        <f t="shared" si="18"/>
        <v>137.60744302300466</v>
      </c>
      <c r="F259" s="2">
        <f t="shared" si="19"/>
        <v>545.20255697699531</v>
      </c>
    </row>
    <row r="260" spans="1:6" x14ac:dyDescent="0.2">
      <c r="A260" s="1">
        <f t="shared" si="16"/>
        <v>52079</v>
      </c>
      <c r="B260" s="2">
        <f t="shared" si="17"/>
        <v>62361.057110682283</v>
      </c>
      <c r="C260" s="3">
        <v>2.6249999999999999E-2</v>
      </c>
      <c r="D260" s="2">
        <v>682.81</v>
      </c>
      <c r="E260" s="2">
        <f t="shared" si="18"/>
        <v>136.41481242961748</v>
      </c>
      <c r="F260" s="2">
        <f t="shared" si="19"/>
        <v>546.3951875703824</v>
      </c>
    </row>
    <row r="261" spans="1:6" x14ac:dyDescent="0.2">
      <c r="A261" s="1">
        <f t="shared" si="16"/>
        <v>52110</v>
      </c>
      <c r="B261" s="2">
        <f t="shared" si="17"/>
        <v>61814.661923111897</v>
      </c>
      <c r="C261" s="3">
        <v>2.6249999999999999E-2</v>
      </c>
      <c r="D261" s="2">
        <v>682.81</v>
      </c>
      <c r="E261" s="2">
        <f t="shared" si="18"/>
        <v>135.21957295680727</v>
      </c>
      <c r="F261" s="2">
        <f t="shared" si="19"/>
        <v>547.59042704319268</v>
      </c>
    </row>
    <row r="262" spans="1:6" x14ac:dyDescent="0.2">
      <c r="A262" s="1">
        <f t="shared" si="16"/>
        <v>52140</v>
      </c>
      <c r="B262" s="2">
        <f t="shared" si="17"/>
        <v>61267.071496068704</v>
      </c>
      <c r="C262" s="3">
        <v>2.6249999999999999E-2</v>
      </c>
      <c r="D262" s="2">
        <v>682.81</v>
      </c>
      <c r="E262" s="2">
        <f t="shared" si="18"/>
        <v>134.02171889765029</v>
      </c>
      <c r="F262" s="2">
        <f t="shared" si="19"/>
        <v>548.78828110234963</v>
      </c>
    </row>
    <row r="263" spans="1:6" x14ac:dyDescent="0.2">
      <c r="A263" s="1">
        <f t="shared" si="16"/>
        <v>52171</v>
      </c>
      <c r="B263" s="2">
        <f t="shared" si="17"/>
        <v>60718.283214966352</v>
      </c>
      <c r="C263" s="3">
        <v>2.6249999999999999E-2</v>
      </c>
      <c r="D263" s="2">
        <v>682.81</v>
      </c>
      <c r="E263" s="2">
        <f t="shared" si="18"/>
        <v>132.82124453273889</v>
      </c>
      <c r="F263" s="2">
        <f t="shared" si="19"/>
        <v>549.98875546726106</v>
      </c>
    </row>
    <row r="264" spans="1:6" x14ac:dyDescent="0.2">
      <c r="A264" s="1">
        <f t="shared" si="16"/>
        <v>52201</v>
      </c>
      <c r="B264" s="2">
        <f t="shared" si="17"/>
        <v>60168.294459499091</v>
      </c>
      <c r="C264" s="3">
        <v>2.6249999999999999E-2</v>
      </c>
      <c r="D264" s="2">
        <v>682.81</v>
      </c>
      <c r="E264" s="2">
        <f t="shared" si="18"/>
        <v>131.61814413015423</v>
      </c>
      <c r="F264" s="2">
        <f t="shared" si="19"/>
        <v>551.19185586984577</v>
      </c>
    </row>
    <row r="265" spans="1:6" x14ac:dyDescent="0.2">
      <c r="A265" s="1">
        <f t="shared" ref="A265:A328" si="20">DATE(YEAR(A264),MONTH(A264)+1,1)</f>
        <v>52232</v>
      </c>
      <c r="B265" s="2">
        <f t="shared" ref="B265:B328" si="21">B264-F264</f>
        <v>59617.102603629246</v>
      </c>
      <c r="C265" s="3">
        <v>2.6249999999999999E-2</v>
      </c>
      <c r="D265" s="2">
        <v>682.81</v>
      </c>
      <c r="E265" s="2">
        <f t="shared" ref="E265:E328" si="22">B265*(C265/12)</f>
        <v>130.41241194543898</v>
      </c>
      <c r="F265" s="2">
        <f t="shared" ref="F265:F328" si="23">+D265-E265</f>
        <v>552.39758805456097</v>
      </c>
    </row>
    <row r="266" spans="1:6" x14ac:dyDescent="0.2">
      <c r="A266" s="1">
        <f t="shared" si="20"/>
        <v>52263</v>
      </c>
      <c r="B266" s="2">
        <f t="shared" si="21"/>
        <v>59064.705015574684</v>
      </c>
      <c r="C266" s="3">
        <v>2.6249999999999999E-2</v>
      </c>
      <c r="D266" s="2">
        <v>682.81</v>
      </c>
      <c r="E266" s="2">
        <f t="shared" si="22"/>
        <v>129.20404222156961</v>
      </c>
      <c r="F266" s="2">
        <f t="shared" si="23"/>
        <v>553.60595777843037</v>
      </c>
    </row>
    <row r="267" spans="1:6" x14ac:dyDescent="0.2">
      <c r="A267" s="1">
        <f t="shared" si="20"/>
        <v>52291</v>
      </c>
      <c r="B267" s="2">
        <f t="shared" si="21"/>
        <v>58511.099057796251</v>
      </c>
      <c r="C267" s="3">
        <v>2.6249999999999999E-2</v>
      </c>
      <c r="D267" s="2">
        <v>682.81</v>
      </c>
      <c r="E267" s="2">
        <f t="shared" si="22"/>
        <v>127.99302918892928</v>
      </c>
      <c r="F267" s="2">
        <f t="shared" si="23"/>
        <v>554.81697081107063</v>
      </c>
    </row>
    <row r="268" spans="1:6" x14ac:dyDescent="0.2">
      <c r="A268" s="1">
        <f t="shared" si="20"/>
        <v>52322</v>
      </c>
      <c r="B268" s="2">
        <f t="shared" si="21"/>
        <v>57956.282086985178</v>
      </c>
      <c r="C268" s="3">
        <v>2.6249999999999999E-2</v>
      </c>
      <c r="D268" s="2">
        <v>682.81</v>
      </c>
      <c r="E268" s="2">
        <f t="shared" si="22"/>
        <v>126.77936706528007</v>
      </c>
      <c r="F268" s="2">
        <f t="shared" si="23"/>
        <v>556.03063293471985</v>
      </c>
    </row>
    <row r="269" spans="1:6" x14ac:dyDescent="0.2">
      <c r="A269" s="1">
        <f t="shared" si="20"/>
        <v>52352</v>
      </c>
      <c r="B269" s="2">
        <f t="shared" si="21"/>
        <v>57400.251454050456</v>
      </c>
      <c r="C269" s="3">
        <v>2.6249999999999999E-2</v>
      </c>
      <c r="D269" s="2">
        <v>682.81</v>
      </c>
      <c r="E269" s="2">
        <f t="shared" si="22"/>
        <v>125.56305005573536</v>
      </c>
      <c r="F269" s="2">
        <f t="shared" si="23"/>
        <v>557.24694994426454</v>
      </c>
    </row>
    <row r="270" spans="1:6" x14ac:dyDescent="0.2">
      <c r="A270" s="1">
        <f t="shared" si="20"/>
        <v>52383</v>
      </c>
      <c r="B270" s="2">
        <f t="shared" si="21"/>
        <v>56843.004504106189</v>
      </c>
      <c r="C270" s="3">
        <v>2.6249999999999999E-2</v>
      </c>
      <c r="D270" s="2">
        <v>682.81</v>
      </c>
      <c r="E270" s="2">
        <f t="shared" si="22"/>
        <v>124.34407235273228</v>
      </c>
      <c r="F270" s="2">
        <f t="shared" si="23"/>
        <v>558.46592764726768</v>
      </c>
    </row>
    <row r="271" spans="1:6" x14ac:dyDescent="0.2">
      <c r="A271" s="1">
        <f t="shared" si="20"/>
        <v>52413</v>
      </c>
      <c r="B271" s="2">
        <f t="shared" si="21"/>
        <v>56284.538576458923</v>
      </c>
      <c r="C271" s="3">
        <v>2.6249999999999999E-2</v>
      </c>
      <c r="D271" s="2">
        <v>682.81</v>
      </c>
      <c r="E271" s="2">
        <f t="shared" si="22"/>
        <v>123.12242813600388</v>
      </c>
      <c r="F271" s="2">
        <f t="shared" si="23"/>
        <v>559.68757186399603</v>
      </c>
    </row>
    <row r="272" spans="1:6" x14ac:dyDescent="0.2">
      <c r="A272" s="1">
        <f t="shared" si="20"/>
        <v>52444</v>
      </c>
      <c r="B272" s="2">
        <f t="shared" si="21"/>
        <v>55724.85100459493</v>
      </c>
      <c r="C272" s="3">
        <v>2.6249999999999999E-2</v>
      </c>
      <c r="D272" s="2">
        <v>682.81</v>
      </c>
      <c r="E272" s="2">
        <f t="shared" si="22"/>
        <v>121.8981115725514</v>
      </c>
      <c r="F272" s="2">
        <f t="shared" si="23"/>
        <v>560.9118884274485</v>
      </c>
    </row>
    <row r="273" spans="1:6" x14ac:dyDescent="0.2">
      <c r="A273" s="1">
        <f t="shared" si="20"/>
        <v>52475</v>
      </c>
      <c r="B273" s="2">
        <f t="shared" si="21"/>
        <v>55163.939116167479</v>
      </c>
      <c r="C273" s="3">
        <v>2.6249999999999999E-2</v>
      </c>
      <c r="D273" s="2">
        <v>682.81</v>
      </c>
      <c r="E273" s="2">
        <f t="shared" si="22"/>
        <v>120.67111681661635</v>
      </c>
      <c r="F273" s="2">
        <f t="shared" si="23"/>
        <v>562.13888318338354</v>
      </c>
    </row>
    <row r="274" spans="1:6" x14ac:dyDescent="0.2">
      <c r="A274" s="1">
        <f t="shared" si="20"/>
        <v>52505</v>
      </c>
      <c r="B274" s="2">
        <f t="shared" si="21"/>
        <v>54601.800232984097</v>
      </c>
      <c r="C274" s="3">
        <v>2.6249999999999999E-2</v>
      </c>
      <c r="D274" s="2">
        <v>682.81</v>
      </c>
      <c r="E274" s="2">
        <f t="shared" si="22"/>
        <v>119.4414380096527</v>
      </c>
      <c r="F274" s="2">
        <f t="shared" si="23"/>
        <v>563.36856199034719</v>
      </c>
    </row>
    <row r="275" spans="1:6" x14ac:dyDescent="0.2">
      <c r="A275" s="1">
        <f t="shared" si="20"/>
        <v>52536</v>
      </c>
      <c r="B275" s="2">
        <f t="shared" si="21"/>
        <v>54038.431670993748</v>
      </c>
      <c r="C275" s="3">
        <v>2.6249999999999999E-2</v>
      </c>
      <c r="D275" s="2">
        <v>682.81</v>
      </c>
      <c r="E275" s="2">
        <f t="shared" si="22"/>
        <v>118.20906928029881</v>
      </c>
      <c r="F275" s="2">
        <f t="shared" si="23"/>
        <v>564.60093071970118</v>
      </c>
    </row>
    <row r="276" spans="1:6" x14ac:dyDescent="0.2">
      <c r="A276" s="1">
        <f t="shared" si="20"/>
        <v>52566</v>
      </c>
      <c r="B276" s="2">
        <f t="shared" si="21"/>
        <v>53473.830740274047</v>
      </c>
      <c r="C276" s="3">
        <v>2.6249999999999999E-2</v>
      </c>
      <c r="D276" s="2">
        <v>682.81</v>
      </c>
      <c r="E276" s="2">
        <f t="shared" si="22"/>
        <v>116.97400474434947</v>
      </c>
      <c r="F276" s="2">
        <f t="shared" si="23"/>
        <v>565.83599525565046</v>
      </c>
    </row>
    <row r="277" spans="1:6" x14ac:dyDescent="0.2">
      <c r="A277" s="1">
        <f t="shared" si="20"/>
        <v>52597</v>
      </c>
      <c r="B277" s="2">
        <f t="shared" si="21"/>
        <v>52907.994745018397</v>
      </c>
      <c r="C277" s="3">
        <v>2.6249999999999999E-2</v>
      </c>
      <c r="D277" s="2">
        <v>682.81</v>
      </c>
      <c r="E277" s="2">
        <f t="shared" si="22"/>
        <v>115.73623850472774</v>
      </c>
      <c r="F277" s="2">
        <f t="shared" si="23"/>
        <v>567.07376149527227</v>
      </c>
    </row>
    <row r="278" spans="1:6" x14ac:dyDescent="0.2">
      <c r="A278" s="1">
        <f t="shared" si="20"/>
        <v>52628</v>
      </c>
      <c r="B278" s="2">
        <f t="shared" si="21"/>
        <v>52340.920983523123</v>
      </c>
      <c r="C278" s="3">
        <v>2.6249999999999999E-2</v>
      </c>
      <c r="D278" s="2">
        <v>682.81</v>
      </c>
      <c r="E278" s="2">
        <f t="shared" si="22"/>
        <v>114.49576465145682</v>
      </c>
      <c r="F278" s="2">
        <f t="shared" si="23"/>
        <v>568.31423534854309</v>
      </c>
    </row>
    <row r="279" spans="1:6" x14ac:dyDescent="0.2">
      <c r="A279" s="1">
        <f t="shared" si="20"/>
        <v>52657</v>
      </c>
      <c r="B279" s="2">
        <f t="shared" si="21"/>
        <v>51772.606748174578</v>
      </c>
      <c r="C279" s="3">
        <v>2.6249999999999999E-2</v>
      </c>
      <c r="D279" s="2">
        <v>682.81</v>
      </c>
      <c r="E279" s="2">
        <f t="shared" si="22"/>
        <v>113.25257726163187</v>
      </c>
      <c r="F279" s="2">
        <f t="shared" si="23"/>
        <v>569.55742273836813</v>
      </c>
    </row>
    <row r="280" spans="1:6" x14ac:dyDescent="0.2">
      <c r="A280" s="1">
        <f t="shared" si="20"/>
        <v>52688</v>
      </c>
      <c r="B280" s="2">
        <f t="shared" si="21"/>
        <v>51203.049325436208</v>
      </c>
      <c r="C280" s="3">
        <v>2.6249999999999999E-2</v>
      </c>
      <c r="D280" s="2">
        <v>682.81</v>
      </c>
      <c r="E280" s="2">
        <f t="shared" si="22"/>
        <v>112.00667039939169</v>
      </c>
      <c r="F280" s="2">
        <f t="shared" si="23"/>
        <v>570.80332960060821</v>
      </c>
    </row>
    <row r="281" spans="1:6" x14ac:dyDescent="0.2">
      <c r="A281" s="1">
        <f t="shared" si="20"/>
        <v>52718</v>
      </c>
      <c r="B281" s="2">
        <f t="shared" si="21"/>
        <v>50632.245995835598</v>
      </c>
      <c r="C281" s="3">
        <v>2.6249999999999999E-2</v>
      </c>
      <c r="D281" s="2">
        <v>682.81</v>
      </c>
      <c r="E281" s="2">
        <f t="shared" si="22"/>
        <v>110.75803811589036</v>
      </c>
      <c r="F281" s="2">
        <f t="shared" si="23"/>
        <v>572.05196188410957</v>
      </c>
    </row>
    <row r="282" spans="1:6" x14ac:dyDescent="0.2">
      <c r="A282" s="1">
        <f t="shared" si="20"/>
        <v>52749</v>
      </c>
      <c r="B282" s="2">
        <f t="shared" si="21"/>
        <v>50060.194033951491</v>
      </c>
      <c r="C282" s="3">
        <v>2.6249999999999999E-2</v>
      </c>
      <c r="D282" s="2">
        <v>682.81</v>
      </c>
      <c r="E282" s="2">
        <f t="shared" si="22"/>
        <v>109.50667444926887</v>
      </c>
      <c r="F282" s="2">
        <f t="shared" si="23"/>
        <v>573.30332555073107</v>
      </c>
    </row>
    <row r="283" spans="1:6" x14ac:dyDescent="0.2">
      <c r="A283" s="1">
        <f t="shared" si="20"/>
        <v>52779</v>
      </c>
      <c r="B283" s="2">
        <f t="shared" si="21"/>
        <v>49486.890708400759</v>
      </c>
      <c r="C283" s="3">
        <v>2.6249999999999999E-2</v>
      </c>
      <c r="D283" s="2">
        <v>682.81</v>
      </c>
      <c r="E283" s="2">
        <f t="shared" si="22"/>
        <v>108.25257342462665</v>
      </c>
      <c r="F283" s="2">
        <f t="shared" si="23"/>
        <v>574.55742657537326</v>
      </c>
    </row>
    <row r="284" spans="1:6" x14ac:dyDescent="0.2">
      <c r="A284" s="1">
        <f t="shared" si="20"/>
        <v>52810</v>
      </c>
      <c r="B284" s="2">
        <f t="shared" si="21"/>
        <v>48912.333281825384</v>
      </c>
      <c r="C284" s="3">
        <v>2.6249999999999999E-2</v>
      </c>
      <c r="D284" s="2">
        <v>682.81</v>
      </c>
      <c r="E284" s="2">
        <f t="shared" si="22"/>
        <v>106.99572905399302</v>
      </c>
      <c r="F284" s="2">
        <f t="shared" si="23"/>
        <v>575.8142709460069</v>
      </c>
    </row>
    <row r="285" spans="1:6" x14ac:dyDescent="0.2">
      <c r="A285" s="1">
        <f t="shared" si="20"/>
        <v>52841</v>
      </c>
      <c r="B285" s="2">
        <f t="shared" si="21"/>
        <v>48336.519010879376</v>
      </c>
      <c r="C285" s="3">
        <v>2.6249999999999999E-2</v>
      </c>
      <c r="D285" s="2">
        <v>682.81</v>
      </c>
      <c r="E285" s="2">
        <f t="shared" si="22"/>
        <v>105.73613533629863</v>
      </c>
      <c r="F285" s="2">
        <f t="shared" si="23"/>
        <v>577.07386466370133</v>
      </c>
    </row>
    <row r="286" spans="1:6" x14ac:dyDescent="0.2">
      <c r="A286" s="1">
        <f t="shared" si="20"/>
        <v>52871</v>
      </c>
      <c r="B286" s="2">
        <f t="shared" si="21"/>
        <v>47759.445146215672</v>
      </c>
      <c r="C286" s="3">
        <v>2.6249999999999999E-2</v>
      </c>
      <c r="D286" s="2">
        <v>682.81</v>
      </c>
      <c r="E286" s="2">
        <f t="shared" si="22"/>
        <v>104.47378625734677</v>
      </c>
      <c r="F286" s="2">
        <f t="shared" si="23"/>
        <v>578.33621374265317</v>
      </c>
    </row>
    <row r="287" spans="1:6" x14ac:dyDescent="0.2">
      <c r="A287" s="1">
        <f t="shared" si="20"/>
        <v>52902</v>
      </c>
      <c r="B287" s="2">
        <f t="shared" si="21"/>
        <v>47181.10893247302</v>
      </c>
      <c r="C287" s="3">
        <v>2.6249999999999999E-2</v>
      </c>
      <c r="D287" s="2">
        <v>682.81</v>
      </c>
      <c r="E287" s="2">
        <f t="shared" si="22"/>
        <v>103.20867578978472</v>
      </c>
      <c r="F287" s="2">
        <f t="shared" si="23"/>
        <v>579.60132421021524</v>
      </c>
    </row>
    <row r="288" spans="1:6" x14ac:dyDescent="0.2">
      <c r="A288" s="1">
        <f t="shared" si="20"/>
        <v>52932</v>
      </c>
      <c r="B288" s="2">
        <f t="shared" si="21"/>
        <v>46601.507608262807</v>
      </c>
      <c r="C288" s="3">
        <v>2.6249999999999999E-2</v>
      </c>
      <c r="D288" s="2">
        <v>682.81</v>
      </c>
      <c r="E288" s="2">
        <f t="shared" si="22"/>
        <v>101.94079789307489</v>
      </c>
      <c r="F288" s="2">
        <f t="shared" si="23"/>
        <v>580.86920210692506</v>
      </c>
    </row>
    <row r="289" spans="1:6" x14ac:dyDescent="0.2">
      <c r="A289" s="1">
        <f t="shared" si="20"/>
        <v>52963</v>
      </c>
      <c r="B289" s="2">
        <f t="shared" si="21"/>
        <v>46020.638406155886</v>
      </c>
      <c r="C289" s="3">
        <v>2.6249999999999999E-2</v>
      </c>
      <c r="D289" s="2">
        <v>682.81</v>
      </c>
      <c r="E289" s="2">
        <f t="shared" si="22"/>
        <v>100.67014651346599</v>
      </c>
      <c r="F289" s="2">
        <f t="shared" si="23"/>
        <v>582.13985348653398</v>
      </c>
    </row>
    <row r="290" spans="1:6" x14ac:dyDescent="0.2">
      <c r="A290" s="1">
        <f t="shared" si="20"/>
        <v>52994</v>
      </c>
      <c r="B290" s="2">
        <f t="shared" si="21"/>
        <v>45438.498552669349</v>
      </c>
      <c r="C290" s="3">
        <v>2.6249999999999999E-2</v>
      </c>
      <c r="D290" s="2">
        <v>682.81</v>
      </c>
      <c r="E290" s="2">
        <f t="shared" si="22"/>
        <v>99.396715583964195</v>
      </c>
      <c r="F290" s="2">
        <f t="shared" si="23"/>
        <v>583.41328441603571</v>
      </c>
    </row>
    <row r="291" spans="1:6" x14ac:dyDescent="0.2">
      <c r="A291" s="1">
        <f t="shared" si="20"/>
        <v>53022</v>
      </c>
      <c r="B291" s="2">
        <f t="shared" si="21"/>
        <v>44855.085268253315</v>
      </c>
      <c r="C291" s="3">
        <v>2.6249999999999999E-2</v>
      </c>
      <c r="D291" s="2">
        <v>682.81</v>
      </c>
      <c r="E291" s="2">
        <f t="shared" si="22"/>
        <v>98.12049902430411</v>
      </c>
      <c r="F291" s="2">
        <f t="shared" si="23"/>
        <v>584.68950097569586</v>
      </c>
    </row>
    <row r="292" spans="1:6" x14ac:dyDescent="0.2">
      <c r="A292" s="1">
        <f t="shared" si="20"/>
        <v>53053</v>
      </c>
      <c r="B292" s="2">
        <f t="shared" si="21"/>
        <v>44270.395767277616</v>
      </c>
      <c r="C292" s="3">
        <v>2.6249999999999999E-2</v>
      </c>
      <c r="D292" s="2">
        <v>682.81</v>
      </c>
      <c r="E292" s="2">
        <f t="shared" si="22"/>
        <v>96.841490740919781</v>
      </c>
      <c r="F292" s="2">
        <f t="shared" si="23"/>
        <v>585.96850925908018</v>
      </c>
    </row>
    <row r="293" spans="1:6" x14ac:dyDescent="0.2">
      <c r="A293" s="1">
        <f t="shared" si="20"/>
        <v>53083</v>
      </c>
      <c r="B293" s="2">
        <f t="shared" si="21"/>
        <v>43684.427258018535</v>
      </c>
      <c r="C293" s="3">
        <v>2.6249999999999999E-2</v>
      </c>
      <c r="D293" s="2">
        <v>682.81</v>
      </c>
      <c r="E293" s="2">
        <f t="shared" si="22"/>
        <v>95.559684626915541</v>
      </c>
      <c r="F293" s="2">
        <f t="shared" si="23"/>
        <v>587.25031537308439</v>
      </c>
    </row>
    <row r="294" spans="1:6" x14ac:dyDescent="0.2">
      <c r="A294" s="1">
        <f t="shared" si="20"/>
        <v>53114</v>
      </c>
      <c r="B294" s="2">
        <f t="shared" si="21"/>
        <v>43097.176942645448</v>
      </c>
      <c r="C294" s="3">
        <v>2.6249999999999999E-2</v>
      </c>
      <c r="D294" s="2">
        <v>682.81</v>
      </c>
      <c r="E294" s="2">
        <f t="shared" si="22"/>
        <v>94.275074562036906</v>
      </c>
      <c r="F294" s="2">
        <f t="shared" si="23"/>
        <v>588.53492543796301</v>
      </c>
    </row>
    <row r="295" spans="1:6" x14ac:dyDescent="0.2">
      <c r="A295" s="1">
        <f t="shared" si="20"/>
        <v>53144</v>
      </c>
      <c r="B295" s="2">
        <f t="shared" si="21"/>
        <v>42508.642017207487</v>
      </c>
      <c r="C295" s="3">
        <v>2.6249999999999999E-2</v>
      </c>
      <c r="D295" s="2">
        <v>682.81</v>
      </c>
      <c r="E295" s="2">
        <f t="shared" si="22"/>
        <v>92.987654412641362</v>
      </c>
      <c r="F295" s="2">
        <f t="shared" si="23"/>
        <v>589.82234558735854</v>
      </c>
    </row>
    <row r="296" spans="1:6" x14ac:dyDescent="0.2">
      <c r="A296" s="1">
        <f t="shared" si="20"/>
        <v>53175</v>
      </c>
      <c r="B296" s="2">
        <f t="shared" si="21"/>
        <v>41918.819671620127</v>
      </c>
      <c r="C296" s="3">
        <v>2.6249999999999999E-2</v>
      </c>
      <c r="D296" s="2">
        <v>682.81</v>
      </c>
      <c r="E296" s="2">
        <f t="shared" si="22"/>
        <v>91.697418031669017</v>
      </c>
      <c r="F296" s="2">
        <f t="shared" si="23"/>
        <v>591.11258196833091</v>
      </c>
    </row>
    <row r="297" spans="1:6" x14ac:dyDescent="0.2">
      <c r="A297" s="1">
        <f t="shared" si="20"/>
        <v>53206</v>
      </c>
      <c r="B297" s="2">
        <f t="shared" si="21"/>
        <v>41327.707089651798</v>
      </c>
      <c r="C297" s="3">
        <v>2.6249999999999999E-2</v>
      </c>
      <c r="D297" s="2">
        <v>682.81</v>
      </c>
      <c r="E297" s="2">
        <f t="shared" si="22"/>
        <v>90.404359258613297</v>
      </c>
      <c r="F297" s="2">
        <f t="shared" si="23"/>
        <v>592.40564074138661</v>
      </c>
    </row>
    <row r="298" spans="1:6" x14ac:dyDescent="0.2">
      <c r="A298" s="1">
        <f t="shared" si="20"/>
        <v>53236</v>
      </c>
      <c r="B298" s="2">
        <f t="shared" si="21"/>
        <v>40735.30144891041</v>
      </c>
      <c r="C298" s="3">
        <v>2.6249999999999999E-2</v>
      </c>
      <c r="D298" s="2">
        <v>682.81</v>
      </c>
      <c r="E298" s="2">
        <f t="shared" si="22"/>
        <v>89.108471919491507</v>
      </c>
      <c r="F298" s="2">
        <f t="shared" si="23"/>
        <v>593.70152808050841</v>
      </c>
    </row>
    <row r="299" spans="1:6" x14ac:dyDescent="0.2">
      <c r="A299" s="1">
        <f t="shared" si="20"/>
        <v>53267</v>
      </c>
      <c r="B299" s="2">
        <f t="shared" si="21"/>
        <v>40141.599920829904</v>
      </c>
      <c r="C299" s="3">
        <v>2.6249999999999999E-2</v>
      </c>
      <c r="D299" s="2">
        <v>682.81</v>
      </c>
      <c r="E299" s="2">
        <f t="shared" si="22"/>
        <v>87.809749826815406</v>
      </c>
      <c r="F299" s="2">
        <f t="shared" si="23"/>
        <v>595.00025017318455</v>
      </c>
    </row>
    <row r="300" spans="1:6" x14ac:dyDescent="0.2">
      <c r="A300" s="1">
        <f t="shared" si="20"/>
        <v>53297</v>
      </c>
      <c r="B300" s="2">
        <f t="shared" si="21"/>
        <v>39546.599670656717</v>
      </c>
      <c r="C300" s="3">
        <v>2.6249999999999999E-2</v>
      </c>
      <c r="D300" s="2">
        <v>682.81</v>
      </c>
      <c r="E300" s="2">
        <f t="shared" si="22"/>
        <v>86.508186779561555</v>
      </c>
      <c r="F300" s="2">
        <f t="shared" si="23"/>
        <v>596.30181322043836</v>
      </c>
    </row>
    <row r="301" spans="1:6" x14ac:dyDescent="0.2">
      <c r="A301" s="1">
        <f t="shared" si="20"/>
        <v>53328</v>
      </c>
      <c r="B301" s="2">
        <f t="shared" si="21"/>
        <v>38950.297857436279</v>
      </c>
      <c r="C301" s="3">
        <v>2.6249999999999999E-2</v>
      </c>
      <c r="D301" s="2">
        <v>682.81</v>
      </c>
      <c r="E301" s="2">
        <f t="shared" si="22"/>
        <v>85.203776563141858</v>
      </c>
      <c r="F301" s="2">
        <f t="shared" si="23"/>
        <v>597.60622343685804</v>
      </c>
    </row>
    <row r="302" spans="1:6" x14ac:dyDescent="0.2">
      <c r="A302" s="1">
        <f t="shared" si="20"/>
        <v>53359</v>
      </c>
      <c r="B302" s="2">
        <f t="shared" si="21"/>
        <v>38352.69163399942</v>
      </c>
      <c r="C302" s="3">
        <v>2.6249999999999999E-2</v>
      </c>
      <c r="D302" s="2">
        <v>682.81</v>
      </c>
      <c r="E302" s="2">
        <f t="shared" si="22"/>
        <v>83.896512949373729</v>
      </c>
      <c r="F302" s="2">
        <f t="shared" si="23"/>
        <v>598.91348705062626</v>
      </c>
    </row>
    <row r="303" spans="1:6" x14ac:dyDescent="0.2">
      <c r="A303" s="1">
        <f t="shared" si="20"/>
        <v>53387</v>
      </c>
      <c r="B303" s="2">
        <f t="shared" si="21"/>
        <v>37753.778146948796</v>
      </c>
      <c r="C303" s="3">
        <v>2.6249999999999999E-2</v>
      </c>
      <c r="D303" s="2">
        <v>682.81</v>
      </c>
      <c r="E303" s="2">
        <f t="shared" si="22"/>
        <v>82.586389696450482</v>
      </c>
      <c r="F303" s="2">
        <f t="shared" si="23"/>
        <v>600.22361030354944</v>
      </c>
    </row>
    <row r="304" spans="1:6" x14ac:dyDescent="0.2">
      <c r="A304" s="1">
        <f t="shared" si="20"/>
        <v>53418</v>
      </c>
      <c r="B304" s="2">
        <f t="shared" si="21"/>
        <v>37153.55453664525</v>
      </c>
      <c r="C304" s="3">
        <v>2.6249999999999999E-2</v>
      </c>
      <c r="D304" s="2">
        <v>682.81</v>
      </c>
      <c r="E304" s="2">
        <f t="shared" si="22"/>
        <v>81.273400548911482</v>
      </c>
      <c r="F304" s="2">
        <f t="shared" si="23"/>
        <v>601.53659945108848</v>
      </c>
    </row>
    <row r="305" spans="1:6" x14ac:dyDescent="0.2">
      <c r="A305" s="1">
        <f t="shared" si="20"/>
        <v>53448</v>
      </c>
      <c r="B305" s="2">
        <f t="shared" si="21"/>
        <v>36552.017937194163</v>
      </c>
      <c r="C305" s="3">
        <v>2.6249999999999999E-2</v>
      </c>
      <c r="D305" s="2">
        <v>682.81</v>
      </c>
      <c r="E305" s="2">
        <f t="shared" si="22"/>
        <v>79.957539237612224</v>
      </c>
      <c r="F305" s="2">
        <f t="shared" si="23"/>
        <v>602.85246076238775</v>
      </c>
    </row>
    <row r="306" spans="1:6" x14ac:dyDescent="0.2">
      <c r="A306" s="1">
        <f t="shared" si="20"/>
        <v>53479</v>
      </c>
      <c r="B306" s="2">
        <f t="shared" si="21"/>
        <v>35949.165476431772</v>
      </c>
      <c r="C306" s="3">
        <v>2.6249999999999999E-2</v>
      </c>
      <c r="D306" s="2">
        <v>682.81</v>
      </c>
      <c r="E306" s="2">
        <f t="shared" si="22"/>
        <v>78.638799479694498</v>
      </c>
      <c r="F306" s="2">
        <f t="shared" si="23"/>
        <v>604.17120052030543</v>
      </c>
    </row>
    <row r="307" spans="1:6" x14ac:dyDescent="0.2">
      <c r="A307" s="1">
        <f t="shared" si="20"/>
        <v>53509</v>
      </c>
      <c r="B307" s="2">
        <f t="shared" si="21"/>
        <v>35344.994275911464</v>
      </c>
      <c r="C307" s="3">
        <v>2.6249999999999999E-2</v>
      </c>
      <c r="D307" s="2">
        <v>682.81</v>
      </c>
      <c r="E307" s="2">
        <f t="shared" si="22"/>
        <v>77.317174978556324</v>
      </c>
      <c r="F307" s="2">
        <f t="shared" si="23"/>
        <v>605.49282502144365</v>
      </c>
    </row>
    <row r="308" spans="1:6" x14ac:dyDescent="0.2">
      <c r="A308" s="1">
        <f t="shared" si="20"/>
        <v>53540</v>
      </c>
      <c r="B308" s="2">
        <f t="shared" si="21"/>
        <v>34739.50145089002</v>
      </c>
      <c r="C308" s="3">
        <v>2.6249999999999999E-2</v>
      </c>
      <c r="D308" s="2">
        <v>682.81</v>
      </c>
      <c r="E308" s="2">
        <f t="shared" si="22"/>
        <v>75.992659423821905</v>
      </c>
      <c r="F308" s="2">
        <f t="shared" si="23"/>
        <v>606.81734057617803</v>
      </c>
    </row>
    <row r="309" spans="1:6" x14ac:dyDescent="0.2">
      <c r="A309" s="1">
        <f t="shared" si="20"/>
        <v>53571</v>
      </c>
      <c r="B309" s="2">
        <f t="shared" si="21"/>
        <v>34132.684110313843</v>
      </c>
      <c r="C309" s="3">
        <v>2.6249999999999999E-2</v>
      </c>
      <c r="D309" s="2">
        <v>682.81</v>
      </c>
      <c r="E309" s="2">
        <f t="shared" si="22"/>
        <v>74.665246491311521</v>
      </c>
      <c r="F309" s="2">
        <f t="shared" si="23"/>
        <v>608.14475350868838</v>
      </c>
    </row>
    <row r="310" spans="1:6" x14ac:dyDescent="0.2">
      <c r="A310" s="1">
        <f t="shared" si="20"/>
        <v>53601</v>
      </c>
      <c r="B310" s="2">
        <f t="shared" si="21"/>
        <v>33524.539356805151</v>
      </c>
      <c r="C310" s="3">
        <v>2.6249999999999999E-2</v>
      </c>
      <c r="D310" s="2">
        <v>682.81</v>
      </c>
      <c r="E310" s="2">
        <f t="shared" si="22"/>
        <v>73.334929843011267</v>
      </c>
      <c r="F310" s="2">
        <f t="shared" si="23"/>
        <v>609.47507015698864</v>
      </c>
    </row>
    <row r="311" spans="1:6" x14ac:dyDescent="0.2">
      <c r="A311" s="1">
        <f t="shared" si="20"/>
        <v>53632</v>
      </c>
      <c r="B311" s="2">
        <f t="shared" si="21"/>
        <v>32915.064286648165</v>
      </c>
      <c r="C311" s="3">
        <v>2.6249999999999999E-2</v>
      </c>
      <c r="D311" s="2">
        <v>682.81</v>
      </c>
      <c r="E311" s="2">
        <f t="shared" si="22"/>
        <v>72.001703127042859</v>
      </c>
      <c r="F311" s="2">
        <f t="shared" si="23"/>
        <v>610.80829687295704</v>
      </c>
    </row>
    <row r="312" spans="1:6" x14ac:dyDescent="0.2">
      <c r="A312" s="1">
        <f t="shared" si="20"/>
        <v>53662</v>
      </c>
      <c r="B312" s="2">
        <f t="shared" si="21"/>
        <v>32304.255989775207</v>
      </c>
      <c r="C312" s="3">
        <v>2.6249999999999999E-2</v>
      </c>
      <c r="D312" s="2">
        <v>682.81</v>
      </c>
      <c r="E312" s="2">
        <f t="shared" si="22"/>
        <v>70.665559977633265</v>
      </c>
      <c r="F312" s="2">
        <f t="shared" si="23"/>
        <v>612.14444002236667</v>
      </c>
    </row>
    <row r="313" spans="1:6" x14ac:dyDescent="0.2">
      <c r="A313" s="1">
        <f t="shared" si="20"/>
        <v>53693</v>
      </c>
      <c r="B313" s="2">
        <f t="shared" si="21"/>
        <v>31692.111549752841</v>
      </c>
      <c r="C313" s="3">
        <v>2.6249999999999999E-2</v>
      </c>
      <c r="D313" s="2">
        <v>682.81</v>
      </c>
      <c r="E313" s="2">
        <f t="shared" si="22"/>
        <v>69.326494015084336</v>
      </c>
      <c r="F313" s="2">
        <f t="shared" si="23"/>
        <v>613.48350598491561</v>
      </c>
    </row>
    <row r="314" spans="1:6" x14ac:dyDescent="0.2">
      <c r="A314" s="1">
        <f t="shared" si="20"/>
        <v>53724</v>
      </c>
      <c r="B314" s="2">
        <f t="shared" si="21"/>
        <v>31078.628043767923</v>
      </c>
      <c r="C314" s="3">
        <v>2.6249999999999999E-2</v>
      </c>
      <c r="D314" s="2">
        <v>682.81</v>
      </c>
      <c r="E314" s="2">
        <f t="shared" si="22"/>
        <v>67.984498845742323</v>
      </c>
      <c r="F314" s="2">
        <f t="shared" si="23"/>
        <v>614.82550115425761</v>
      </c>
    </row>
    <row r="315" spans="1:6" x14ac:dyDescent="0.2">
      <c r="A315" s="1">
        <f t="shared" si="20"/>
        <v>53752</v>
      </c>
      <c r="B315" s="2">
        <f t="shared" si="21"/>
        <v>30463.802542613666</v>
      </c>
      <c r="C315" s="3">
        <v>2.6249999999999999E-2</v>
      </c>
      <c r="D315" s="2">
        <v>682.81</v>
      </c>
      <c r="E315" s="2">
        <f t="shared" si="22"/>
        <v>66.639568061967395</v>
      </c>
      <c r="F315" s="2">
        <f t="shared" si="23"/>
        <v>616.17043193803261</v>
      </c>
    </row>
    <row r="316" spans="1:6" x14ac:dyDescent="0.2">
      <c r="A316" s="1">
        <f t="shared" si="20"/>
        <v>53783</v>
      </c>
      <c r="B316" s="2">
        <f t="shared" si="21"/>
        <v>29847.632110675633</v>
      </c>
      <c r="C316" s="3">
        <v>2.6249999999999999E-2</v>
      </c>
      <c r="D316" s="2">
        <v>682.81</v>
      </c>
      <c r="E316" s="2">
        <f t="shared" si="22"/>
        <v>65.291695242102946</v>
      </c>
      <c r="F316" s="2">
        <f t="shared" si="23"/>
        <v>617.518304757897</v>
      </c>
    </row>
    <row r="317" spans="1:6" x14ac:dyDescent="0.2">
      <c r="A317" s="1">
        <f t="shared" si="20"/>
        <v>53813</v>
      </c>
      <c r="B317" s="2">
        <f t="shared" si="21"/>
        <v>29230.113805917736</v>
      </c>
      <c r="C317" s="3">
        <v>2.6249999999999999E-2</v>
      </c>
      <c r="D317" s="2">
        <v>682.81</v>
      </c>
      <c r="E317" s="2">
        <f t="shared" si="22"/>
        <v>63.940873950445038</v>
      </c>
      <c r="F317" s="2">
        <f t="shared" si="23"/>
        <v>618.86912604955489</v>
      </c>
    </row>
    <row r="318" spans="1:6" x14ac:dyDescent="0.2">
      <c r="A318" s="1">
        <f t="shared" si="20"/>
        <v>53844</v>
      </c>
      <c r="B318" s="2">
        <f t="shared" si="21"/>
        <v>28611.244679868181</v>
      </c>
      <c r="C318" s="3">
        <v>2.6249999999999999E-2</v>
      </c>
      <c r="D318" s="2">
        <v>682.81</v>
      </c>
      <c r="E318" s="2">
        <f t="shared" si="22"/>
        <v>62.587097737211643</v>
      </c>
      <c r="F318" s="2">
        <f t="shared" si="23"/>
        <v>620.22290226278835</v>
      </c>
    </row>
    <row r="319" spans="1:6" x14ac:dyDescent="0.2">
      <c r="A319" s="1">
        <f t="shared" si="20"/>
        <v>53874</v>
      </c>
      <c r="B319" s="2">
        <f t="shared" si="21"/>
        <v>27991.021777605394</v>
      </c>
      <c r="C319" s="3">
        <v>2.6249999999999999E-2</v>
      </c>
      <c r="D319" s="2">
        <v>682.81</v>
      </c>
      <c r="E319" s="2">
        <f t="shared" si="22"/>
        <v>61.230360138511791</v>
      </c>
      <c r="F319" s="2">
        <f t="shared" si="23"/>
        <v>621.5796398614882</v>
      </c>
    </row>
    <row r="320" spans="1:6" x14ac:dyDescent="0.2">
      <c r="A320" s="1">
        <f t="shared" si="20"/>
        <v>53905</v>
      </c>
      <c r="B320" s="2">
        <f t="shared" si="21"/>
        <v>27369.442137743907</v>
      </c>
      <c r="C320" s="3">
        <v>2.6249999999999999E-2</v>
      </c>
      <c r="D320" s="2">
        <v>682.81</v>
      </c>
      <c r="E320" s="2">
        <f t="shared" si="22"/>
        <v>59.870654676314793</v>
      </c>
      <c r="F320" s="2">
        <f t="shared" si="23"/>
        <v>622.93934532368519</v>
      </c>
    </row>
    <row r="321" spans="1:6" x14ac:dyDescent="0.2">
      <c r="A321" s="1">
        <f t="shared" si="20"/>
        <v>53936</v>
      </c>
      <c r="B321" s="2">
        <f t="shared" si="21"/>
        <v>26746.502792420222</v>
      </c>
      <c r="C321" s="3">
        <v>2.6249999999999999E-2</v>
      </c>
      <c r="D321" s="2">
        <v>682.81</v>
      </c>
      <c r="E321" s="2">
        <f t="shared" si="22"/>
        <v>58.507974858419232</v>
      </c>
      <c r="F321" s="2">
        <f t="shared" si="23"/>
        <v>624.30202514158077</v>
      </c>
    </row>
    <row r="322" spans="1:6" x14ac:dyDescent="0.2">
      <c r="A322" s="1">
        <f t="shared" si="20"/>
        <v>53966</v>
      </c>
      <c r="B322" s="2">
        <f t="shared" si="21"/>
        <v>26122.200767278642</v>
      </c>
      <c r="C322" s="3">
        <v>2.6249999999999999E-2</v>
      </c>
      <c r="D322" s="2">
        <v>682.81</v>
      </c>
      <c r="E322" s="2">
        <f t="shared" si="22"/>
        <v>57.142314178422026</v>
      </c>
      <c r="F322" s="2">
        <f t="shared" si="23"/>
        <v>625.66768582157795</v>
      </c>
    </row>
    <row r="323" spans="1:6" x14ac:dyDescent="0.2">
      <c r="A323" s="1">
        <f t="shared" si="20"/>
        <v>53997</v>
      </c>
      <c r="B323" s="2">
        <f t="shared" si="21"/>
        <v>25496.533081457063</v>
      </c>
      <c r="C323" s="3">
        <v>2.6249999999999999E-2</v>
      </c>
      <c r="D323" s="2">
        <v>682.81</v>
      </c>
      <c r="E323" s="2">
        <f t="shared" si="22"/>
        <v>55.77366611568732</v>
      </c>
      <c r="F323" s="2">
        <f t="shared" si="23"/>
        <v>627.03633388431263</v>
      </c>
    </row>
    <row r="324" spans="1:6" x14ac:dyDescent="0.2">
      <c r="A324" s="1">
        <f t="shared" si="20"/>
        <v>54027</v>
      </c>
      <c r="B324" s="2">
        <f t="shared" si="21"/>
        <v>24869.49674757275</v>
      </c>
      <c r="C324" s="3">
        <v>2.6249999999999999E-2</v>
      </c>
      <c r="D324" s="2">
        <v>682.81</v>
      </c>
      <c r="E324" s="2">
        <f t="shared" si="22"/>
        <v>54.402024135315386</v>
      </c>
      <c r="F324" s="2">
        <f t="shared" si="23"/>
        <v>628.40797586468454</v>
      </c>
    </row>
    <row r="325" spans="1:6" x14ac:dyDescent="0.2">
      <c r="A325" s="1">
        <f t="shared" si="20"/>
        <v>54058</v>
      </c>
      <c r="B325" s="2">
        <f t="shared" si="21"/>
        <v>24241.088771708066</v>
      </c>
      <c r="C325" s="3">
        <v>2.6249999999999999E-2</v>
      </c>
      <c r="D325" s="2">
        <v>682.81</v>
      </c>
      <c r="E325" s="2">
        <f t="shared" si="22"/>
        <v>53.02738168811139</v>
      </c>
      <c r="F325" s="2">
        <f t="shared" si="23"/>
        <v>629.78261831188854</v>
      </c>
    </row>
    <row r="326" spans="1:6" x14ac:dyDescent="0.2">
      <c r="A326" s="1">
        <f t="shared" si="20"/>
        <v>54089</v>
      </c>
      <c r="B326" s="2">
        <f t="shared" si="21"/>
        <v>23611.306153396177</v>
      </c>
      <c r="C326" s="3">
        <v>2.6249999999999999E-2</v>
      </c>
      <c r="D326" s="2">
        <v>682.81</v>
      </c>
      <c r="E326" s="2">
        <f t="shared" si="22"/>
        <v>51.649732210554134</v>
      </c>
      <c r="F326" s="2">
        <f t="shared" si="23"/>
        <v>631.16026778944581</v>
      </c>
    </row>
    <row r="327" spans="1:6" x14ac:dyDescent="0.2">
      <c r="A327" s="1">
        <f t="shared" si="20"/>
        <v>54118</v>
      </c>
      <c r="B327" s="2">
        <f t="shared" si="21"/>
        <v>22980.145885606733</v>
      </c>
      <c r="C327" s="3">
        <v>2.6249999999999999E-2</v>
      </c>
      <c r="D327" s="2">
        <v>682.81</v>
      </c>
      <c r="E327" s="2">
        <f t="shared" si="22"/>
        <v>50.269069124764727</v>
      </c>
      <c r="F327" s="2">
        <f t="shared" si="23"/>
        <v>632.54093087523518</v>
      </c>
    </row>
    <row r="328" spans="1:6" x14ac:dyDescent="0.2">
      <c r="A328" s="1">
        <f t="shared" si="20"/>
        <v>54149</v>
      </c>
      <c r="B328" s="2">
        <f t="shared" si="21"/>
        <v>22347.604954731498</v>
      </c>
      <c r="C328" s="3">
        <v>2.6249999999999999E-2</v>
      </c>
      <c r="D328" s="2">
        <v>682.81</v>
      </c>
      <c r="E328" s="2">
        <f t="shared" si="22"/>
        <v>48.885385838475145</v>
      </c>
      <c r="F328" s="2">
        <f t="shared" si="23"/>
        <v>633.9246141615248</v>
      </c>
    </row>
    <row r="329" spans="1:6" x14ac:dyDescent="0.2">
      <c r="A329" s="1">
        <f t="shared" ref="A329:A361" si="24">DATE(YEAR(A328),MONTH(A328)+1,1)</f>
        <v>54179</v>
      </c>
      <c r="B329" s="2">
        <f t="shared" ref="B329:B361" si="25">B328-F328</f>
        <v>21713.680340569972</v>
      </c>
      <c r="C329" s="3">
        <v>2.6249999999999999E-2</v>
      </c>
      <c r="D329" s="2">
        <v>682.81</v>
      </c>
      <c r="E329" s="2">
        <f t="shared" ref="E329:E361" si="26">B329*(C329/12)</f>
        <v>47.49867574499681</v>
      </c>
      <c r="F329" s="2">
        <f t="shared" ref="F329:F361" si="27">+D329-E329</f>
        <v>635.31132425500311</v>
      </c>
    </row>
    <row r="330" spans="1:6" x14ac:dyDescent="0.2">
      <c r="A330" s="1">
        <f t="shared" si="24"/>
        <v>54210</v>
      </c>
      <c r="B330" s="2">
        <f t="shared" si="25"/>
        <v>21078.369016314969</v>
      </c>
      <c r="C330" s="3">
        <v>2.6249999999999999E-2</v>
      </c>
      <c r="D330" s="2">
        <v>682.81</v>
      </c>
      <c r="E330" s="2">
        <f t="shared" si="26"/>
        <v>46.108932223188994</v>
      </c>
      <c r="F330" s="2">
        <f t="shared" si="27"/>
        <v>636.70106777681099</v>
      </c>
    </row>
    <row r="331" spans="1:6" x14ac:dyDescent="0.2">
      <c r="A331" s="1">
        <f t="shared" si="24"/>
        <v>54240</v>
      </c>
      <c r="B331" s="2">
        <f t="shared" si="25"/>
        <v>20441.667948538157</v>
      </c>
      <c r="C331" s="3">
        <v>2.6249999999999999E-2</v>
      </c>
      <c r="D331" s="2">
        <v>682.81</v>
      </c>
      <c r="E331" s="2">
        <f t="shared" si="26"/>
        <v>44.716148637427217</v>
      </c>
      <c r="F331" s="2">
        <f t="shared" si="27"/>
        <v>638.09385136257276</v>
      </c>
    </row>
    <row r="332" spans="1:6" x14ac:dyDescent="0.2">
      <c r="A332" s="1">
        <f t="shared" si="24"/>
        <v>54271</v>
      </c>
      <c r="B332" s="2">
        <f t="shared" si="25"/>
        <v>19803.574097175584</v>
      </c>
      <c r="C332" s="3">
        <v>2.6249999999999999E-2</v>
      </c>
      <c r="D332" s="2">
        <v>682.81</v>
      </c>
      <c r="E332" s="2">
        <f t="shared" si="26"/>
        <v>43.320318337571585</v>
      </c>
      <c r="F332" s="2">
        <f t="shared" si="27"/>
        <v>639.48968166242832</v>
      </c>
    </row>
    <row r="333" spans="1:6" x14ac:dyDescent="0.2">
      <c r="A333" s="1">
        <f t="shared" si="24"/>
        <v>54302</v>
      </c>
      <c r="B333" s="2">
        <f t="shared" si="25"/>
        <v>19164.084415513156</v>
      </c>
      <c r="C333" s="3">
        <v>2.6249999999999999E-2</v>
      </c>
      <c r="D333" s="2">
        <v>682.81</v>
      </c>
      <c r="E333" s="2">
        <f t="shared" si="26"/>
        <v>41.921434658935027</v>
      </c>
      <c r="F333" s="2">
        <f t="shared" si="27"/>
        <v>640.88856534106492</v>
      </c>
    </row>
    <row r="334" spans="1:6" x14ac:dyDescent="0.2">
      <c r="A334" s="1">
        <f t="shared" si="24"/>
        <v>54332</v>
      </c>
      <c r="B334" s="2">
        <f t="shared" si="25"/>
        <v>18523.195850172091</v>
      </c>
      <c r="C334" s="3">
        <v>2.6249999999999999E-2</v>
      </c>
      <c r="D334" s="2">
        <v>682.81</v>
      </c>
      <c r="E334" s="2">
        <f t="shared" si="26"/>
        <v>40.519490922251443</v>
      </c>
      <c r="F334" s="2">
        <f t="shared" si="27"/>
        <v>642.29050907774854</v>
      </c>
    </row>
    <row r="335" spans="1:6" x14ac:dyDescent="0.2">
      <c r="A335" s="1">
        <f t="shared" si="24"/>
        <v>54363</v>
      </c>
      <c r="B335" s="2">
        <f t="shared" si="25"/>
        <v>17880.905341094342</v>
      </c>
      <c r="C335" s="3">
        <v>2.6249999999999999E-2</v>
      </c>
      <c r="D335" s="2">
        <v>682.81</v>
      </c>
      <c r="E335" s="2">
        <f t="shared" si="26"/>
        <v>39.11448043364387</v>
      </c>
      <c r="F335" s="2">
        <f t="shared" si="27"/>
        <v>643.6955195663561</v>
      </c>
    </row>
    <row r="336" spans="1:6" x14ac:dyDescent="0.2">
      <c r="A336" s="1">
        <f t="shared" si="24"/>
        <v>54393</v>
      </c>
      <c r="B336" s="2">
        <f t="shared" si="25"/>
        <v>17237.209821527984</v>
      </c>
      <c r="C336" s="3">
        <v>2.6249999999999999E-2</v>
      </c>
      <c r="D336" s="2">
        <v>682.81</v>
      </c>
      <c r="E336" s="2">
        <f t="shared" si="26"/>
        <v>37.70639648459246</v>
      </c>
      <c r="F336" s="2">
        <f t="shared" si="27"/>
        <v>645.10360351540749</v>
      </c>
    </row>
    <row r="337" spans="1:6" x14ac:dyDescent="0.2">
      <c r="A337" s="1">
        <f t="shared" si="24"/>
        <v>54424</v>
      </c>
      <c r="B337" s="2">
        <f t="shared" si="25"/>
        <v>16592.106218012577</v>
      </c>
      <c r="C337" s="3">
        <v>2.6249999999999999E-2</v>
      </c>
      <c r="D337" s="2">
        <v>682.81</v>
      </c>
      <c r="E337" s="2">
        <f t="shared" si="26"/>
        <v>36.295232351902506</v>
      </c>
      <c r="F337" s="2">
        <f t="shared" si="27"/>
        <v>646.5147676480974</v>
      </c>
    </row>
    <row r="338" spans="1:6" x14ac:dyDescent="0.2">
      <c r="A338" s="1">
        <f t="shared" si="24"/>
        <v>54455</v>
      </c>
      <c r="B338" s="2">
        <f t="shared" si="25"/>
        <v>15945.59145036448</v>
      </c>
      <c r="C338" s="3">
        <v>2.6249999999999999E-2</v>
      </c>
      <c r="D338" s="2">
        <v>682.81</v>
      </c>
      <c r="E338" s="2">
        <f t="shared" si="26"/>
        <v>34.880981297672299</v>
      </c>
      <c r="F338" s="2">
        <f t="shared" si="27"/>
        <v>647.92901870232765</v>
      </c>
    </row>
    <row r="339" spans="1:6" x14ac:dyDescent="0.2">
      <c r="A339" s="1">
        <f t="shared" si="24"/>
        <v>54483</v>
      </c>
      <c r="B339" s="2">
        <f t="shared" si="25"/>
        <v>15297.662431662153</v>
      </c>
      <c r="C339" s="3">
        <v>2.6249999999999999E-2</v>
      </c>
      <c r="D339" s="2">
        <v>682.81</v>
      </c>
      <c r="E339" s="2">
        <f t="shared" si="26"/>
        <v>33.463636569260956</v>
      </c>
      <c r="F339" s="2">
        <f t="shared" si="27"/>
        <v>649.34636343073896</v>
      </c>
    </row>
    <row r="340" spans="1:6" x14ac:dyDescent="0.2">
      <c r="A340" s="1">
        <f t="shared" si="24"/>
        <v>54514</v>
      </c>
      <c r="B340" s="2">
        <f t="shared" si="25"/>
        <v>14648.316068231414</v>
      </c>
      <c r="C340" s="3">
        <v>2.6249999999999999E-2</v>
      </c>
      <c r="D340" s="2">
        <v>682.81</v>
      </c>
      <c r="E340" s="2">
        <f t="shared" si="26"/>
        <v>32.043191399256216</v>
      </c>
      <c r="F340" s="2">
        <f t="shared" si="27"/>
        <v>650.76680860074373</v>
      </c>
    </row>
    <row r="341" spans="1:6" x14ac:dyDescent="0.2">
      <c r="A341" s="1">
        <f t="shared" si="24"/>
        <v>54544</v>
      </c>
      <c r="B341" s="2">
        <f t="shared" si="25"/>
        <v>13997.54925963067</v>
      </c>
      <c r="C341" s="3">
        <v>2.6249999999999999E-2</v>
      </c>
      <c r="D341" s="2">
        <v>682.81</v>
      </c>
      <c r="E341" s="2">
        <f t="shared" si="26"/>
        <v>30.619639005442089</v>
      </c>
      <c r="F341" s="2">
        <f t="shared" si="27"/>
        <v>652.19036099455786</v>
      </c>
    </row>
    <row r="342" spans="1:6" x14ac:dyDescent="0.2">
      <c r="A342" s="1">
        <f t="shared" si="24"/>
        <v>54575</v>
      </c>
      <c r="B342" s="2">
        <f t="shared" si="25"/>
        <v>13345.358898636112</v>
      </c>
      <c r="C342" s="3">
        <v>2.6249999999999999E-2</v>
      </c>
      <c r="D342" s="2">
        <v>682.81</v>
      </c>
      <c r="E342" s="2">
        <f t="shared" si="26"/>
        <v>29.192972590766491</v>
      </c>
      <c r="F342" s="2">
        <f t="shared" si="27"/>
        <v>653.6170274092334</v>
      </c>
    </row>
    <row r="343" spans="1:6" x14ac:dyDescent="0.2">
      <c r="A343" s="1">
        <f t="shared" si="24"/>
        <v>54605</v>
      </c>
      <c r="B343" s="2">
        <f t="shared" si="25"/>
        <v>12691.741871226879</v>
      </c>
      <c r="C343" s="3">
        <v>2.6249999999999999E-2</v>
      </c>
      <c r="D343" s="2">
        <v>682.81</v>
      </c>
      <c r="E343" s="2">
        <f t="shared" si="26"/>
        <v>27.763185343308795</v>
      </c>
      <c r="F343" s="2">
        <f t="shared" si="27"/>
        <v>655.04681465669114</v>
      </c>
    </row>
    <row r="344" spans="1:6" x14ac:dyDescent="0.2">
      <c r="A344" s="1">
        <f t="shared" si="24"/>
        <v>54636</v>
      </c>
      <c r="B344" s="2">
        <f t="shared" si="25"/>
        <v>12036.695056570188</v>
      </c>
      <c r="C344" s="3">
        <v>2.6249999999999999E-2</v>
      </c>
      <c r="D344" s="2">
        <v>682.81</v>
      </c>
      <c r="E344" s="2">
        <f t="shared" si="26"/>
        <v>26.330270436247282</v>
      </c>
      <c r="F344" s="2">
        <f t="shared" si="27"/>
        <v>656.4797295637527</v>
      </c>
    </row>
    <row r="345" spans="1:6" x14ac:dyDescent="0.2">
      <c r="A345" s="1">
        <f t="shared" si="24"/>
        <v>54667</v>
      </c>
      <c r="B345" s="2">
        <f t="shared" si="25"/>
        <v>11380.215327006435</v>
      </c>
      <c r="C345" s="3">
        <v>2.6249999999999999E-2</v>
      </c>
      <c r="D345" s="2">
        <v>682.81</v>
      </c>
      <c r="E345" s="2">
        <f t="shared" si="26"/>
        <v>24.894221027826575</v>
      </c>
      <c r="F345" s="2">
        <f t="shared" si="27"/>
        <v>657.91577897217337</v>
      </c>
    </row>
    <row r="346" spans="1:6" x14ac:dyDescent="0.2">
      <c r="A346" s="1">
        <f t="shared" si="24"/>
        <v>54697</v>
      </c>
      <c r="B346" s="2">
        <f t="shared" si="25"/>
        <v>10722.299548034262</v>
      </c>
      <c r="C346" s="3">
        <v>2.6249999999999999E-2</v>
      </c>
      <c r="D346" s="2">
        <v>682.81</v>
      </c>
      <c r="E346" s="2">
        <f t="shared" si="26"/>
        <v>23.455030261324946</v>
      </c>
      <c r="F346" s="2">
        <f t="shared" si="27"/>
        <v>659.35496973867498</v>
      </c>
    </row>
    <row r="347" spans="1:6" x14ac:dyDescent="0.2">
      <c r="A347" s="1">
        <f t="shared" si="24"/>
        <v>54728</v>
      </c>
      <c r="B347" s="2">
        <f t="shared" si="25"/>
        <v>10062.944578295586</v>
      </c>
      <c r="C347" s="3">
        <v>2.6249999999999999E-2</v>
      </c>
      <c r="D347" s="2">
        <v>682.81</v>
      </c>
      <c r="E347" s="2">
        <f t="shared" si="26"/>
        <v>22.012691265021594</v>
      </c>
      <c r="F347" s="2">
        <f t="shared" si="27"/>
        <v>660.7973087349784</v>
      </c>
    </row>
    <row r="348" spans="1:6" x14ac:dyDescent="0.2">
      <c r="A348" s="1">
        <f t="shared" si="24"/>
        <v>54758</v>
      </c>
      <c r="B348" s="2">
        <f t="shared" si="25"/>
        <v>9402.147269560608</v>
      </c>
      <c r="C348" s="3">
        <v>2.6249999999999999E-2</v>
      </c>
      <c r="D348" s="2">
        <v>682.81</v>
      </c>
      <c r="E348" s="2">
        <f t="shared" si="26"/>
        <v>20.567197152163828</v>
      </c>
      <c r="F348" s="2">
        <f t="shared" si="27"/>
        <v>662.24280284783617</v>
      </c>
    </row>
    <row r="349" spans="1:6" x14ac:dyDescent="0.2">
      <c r="A349" s="1">
        <f t="shared" si="24"/>
        <v>54789</v>
      </c>
      <c r="B349" s="2">
        <f t="shared" si="25"/>
        <v>8739.904466712771</v>
      </c>
      <c r="C349" s="3">
        <v>2.6249999999999999E-2</v>
      </c>
      <c r="D349" s="2">
        <v>682.81</v>
      </c>
      <c r="E349" s="2">
        <f t="shared" si="26"/>
        <v>19.118541020934185</v>
      </c>
      <c r="F349" s="2">
        <f t="shared" si="27"/>
        <v>663.69145897906571</v>
      </c>
    </row>
    <row r="350" spans="1:6" x14ac:dyDescent="0.2">
      <c r="A350" s="1">
        <f t="shared" si="24"/>
        <v>54820</v>
      </c>
      <c r="B350" s="2">
        <f t="shared" si="25"/>
        <v>8076.2130077337051</v>
      </c>
      <c r="C350" s="3">
        <v>2.6249999999999999E-2</v>
      </c>
      <c r="D350" s="2">
        <v>682.81</v>
      </c>
      <c r="E350" s="2">
        <f t="shared" si="26"/>
        <v>17.666715954417477</v>
      </c>
      <c r="F350" s="2">
        <f t="shared" si="27"/>
        <v>665.1432840455825</v>
      </c>
    </row>
    <row r="351" spans="1:6" x14ac:dyDescent="0.2">
      <c r="A351" s="1">
        <f t="shared" si="24"/>
        <v>54848</v>
      </c>
      <c r="B351" s="2">
        <f t="shared" si="25"/>
        <v>7411.0697236881224</v>
      </c>
      <c r="C351" s="3">
        <v>2.6249999999999999E-2</v>
      </c>
      <c r="D351" s="2">
        <v>682.81</v>
      </c>
      <c r="E351" s="2">
        <f t="shared" si="26"/>
        <v>16.211715020567766</v>
      </c>
      <c r="F351" s="2">
        <f t="shared" si="27"/>
        <v>666.59828497943215</v>
      </c>
    </row>
    <row r="352" spans="1:6" x14ac:dyDescent="0.2">
      <c r="A352" s="1">
        <f t="shared" si="24"/>
        <v>54879</v>
      </c>
      <c r="B352" s="2">
        <f t="shared" si="25"/>
        <v>6744.4714387086906</v>
      </c>
      <c r="C352" s="3">
        <v>2.6249999999999999E-2</v>
      </c>
      <c r="D352" s="2">
        <v>682.81</v>
      </c>
      <c r="E352" s="2">
        <f t="shared" si="26"/>
        <v>14.753531272175259</v>
      </c>
      <c r="F352" s="2">
        <f t="shared" si="27"/>
        <v>668.05646872782472</v>
      </c>
    </row>
    <row r="353" spans="1:6" x14ac:dyDescent="0.2">
      <c r="A353" s="1">
        <f t="shared" si="24"/>
        <v>54909</v>
      </c>
      <c r="B353" s="2">
        <f t="shared" si="25"/>
        <v>6076.4149699808659</v>
      </c>
      <c r="C353" s="3">
        <v>2.6249999999999999E-2</v>
      </c>
      <c r="D353" s="2">
        <v>682.81</v>
      </c>
      <c r="E353" s="2">
        <f t="shared" si="26"/>
        <v>13.292157746833142</v>
      </c>
      <c r="F353" s="2">
        <f t="shared" si="27"/>
        <v>669.5178422531668</v>
      </c>
    </row>
    <row r="354" spans="1:6" x14ac:dyDescent="0.2">
      <c r="A354" s="1">
        <f t="shared" si="24"/>
        <v>54940</v>
      </c>
      <c r="B354" s="2">
        <f t="shared" si="25"/>
        <v>5406.8971277276987</v>
      </c>
      <c r="C354" s="3">
        <v>2.6249999999999999E-2</v>
      </c>
      <c r="D354" s="2">
        <v>682.81</v>
      </c>
      <c r="E354" s="2">
        <f t="shared" si="26"/>
        <v>11.82758746690434</v>
      </c>
      <c r="F354" s="2">
        <f t="shared" si="27"/>
        <v>670.98241253309561</v>
      </c>
    </row>
    <row r="355" spans="1:6" x14ac:dyDescent="0.2">
      <c r="A355" s="1">
        <f t="shared" si="24"/>
        <v>54970</v>
      </c>
      <c r="B355" s="2">
        <f t="shared" si="25"/>
        <v>4735.9147151946036</v>
      </c>
      <c r="C355" s="3">
        <v>2.6249999999999999E-2</v>
      </c>
      <c r="D355" s="2">
        <v>682.81</v>
      </c>
      <c r="E355" s="2">
        <f t="shared" si="26"/>
        <v>10.359813439488194</v>
      </c>
      <c r="F355" s="2">
        <f t="shared" si="27"/>
        <v>672.45018656051172</v>
      </c>
    </row>
    <row r="356" spans="1:6" x14ac:dyDescent="0.2">
      <c r="A356" s="1">
        <f t="shared" si="24"/>
        <v>55001</v>
      </c>
      <c r="B356" s="2">
        <f t="shared" si="25"/>
        <v>4063.4645286340919</v>
      </c>
      <c r="C356" s="3">
        <v>2.6249999999999999E-2</v>
      </c>
      <c r="D356" s="2">
        <v>682.81</v>
      </c>
      <c r="E356" s="2">
        <f t="shared" si="26"/>
        <v>8.8888286563870746</v>
      </c>
      <c r="F356" s="2">
        <f t="shared" si="27"/>
        <v>673.92117134361285</v>
      </c>
    </row>
    <row r="357" spans="1:6" x14ac:dyDescent="0.2">
      <c r="A357" s="1">
        <f t="shared" si="24"/>
        <v>55032</v>
      </c>
      <c r="B357" s="2">
        <f t="shared" si="25"/>
        <v>3389.543357290479</v>
      </c>
      <c r="C357" s="3">
        <v>2.6249999999999999E-2</v>
      </c>
      <c r="D357" s="2">
        <v>682.81</v>
      </c>
      <c r="E357" s="2">
        <f t="shared" si="26"/>
        <v>7.4146260940729221</v>
      </c>
      <c r="F357" s="2">
        <f t="shared" si="27"/>
        <v>675.39537390592704</v>
      </c>
    </row>
    <row r="358" spans="1:6" x14ac:dyDescent="0.2">
      <c r="A358" s="1">
        <f t="shared" si="24"/>
        <v>55062</v>
      </c>
      <c r="B358" s="2">
        <f t="shared" si="25"/>
        <v>2714.1479833845519</v>
      </c>
      <c r="C358" s="3">
        <v>2.6249999999999999E-2</v>
      </c>
      <c r="D358" s="2">
        <v>682.81</v>
      </c>
      <c r="E358" s="2">
        <f t="shared" si="26"/>
        <v>5.9371987136537063</v>
      </c>
      <c r="F358" s="2">
        <f t="shared" si="27"/>
        <v>676.8728012863462</v>
      </c>
    </row>
    <row r="359" spans="1:6" x14ac:dyDescent="0.2">
      <c r="A359" s="1">
        <f t="shared" si="24"/>
        <v>55093</v>
      </c>
      <c r="B359" s="2">
        <f t="shared" si="25"/>
        <v>2037.2751820982057</v>
      </c>
      <c r="C359" s="3">
        <v>2.6249999999999999E-2</v>
      </c>
      <c r="D359" s="2">
        <v>682.81</v>
      </c>
      <c r="E359" s="2">
        <f t="shared" si="26"/>
        <v>4.4565394608398243</v>
      </c>
      <c r="F359" s="2">
        <f t="shared" si="27"/>
        <v>678.3534605391601</v>
      </c>
    </row>
    <row r="360" spans="1:6" x14ac:dyDescent="0.2">
      <c r="A360" s="1">
        <f t="shared" si="24"/>
        <v>55123</v>
      </c>
      <c r="B360" s="2">
        <f t="shared" si="25"/>
        <v>1358.9217215590456</v>
      </c>
      <c r="C360" s="3">
        <v>2.6249999999999999E-2</v>
      </c>
      <c r="D360" s="2">
        <v>682.81</v>
      </c>
      <c r="E360" s="2">
        <f t="shared" si="26"/>
        <v>2.9726412659104122</v>
      </c>
      <c r="F360" s="2">
        <f t="shared" si="27"/>
        <v>679.83735873408955</v>
      </c>
    </row>
    <row r="361" spans="1:6" x14ac:dyDescent="0.2">
      <c r="A361" s="1">
        <f t="shared" si="24"/>
        <v>55154</v>
      </c>
      <c r="B361" s="2">
        <f t="shared" si="25"/>
        <v>679.08436282495609</v>
      </c>
      <c r="C361" s="3">
        <v>2.6249999999999999E-2</v>
      </c>
      <c r="D361" s="2">
        <f>B361</f>
        <v>679.08436282495609</v>
      </c>
      <c r="E361" s="2">
        <v>0</v>
      </c>
      <c r="F361" s="2">
        <f t="shared" si="27"/>
        <v>679.08436282495609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D389-3242-4999-9C43-72D72579E244}">
  <sheetPr codeName="Sheet2"/>
  <dimension ref="A1:L704"/>
  <sheetViews>
    <sheetView tabSelected="1" workbookViewId="0">
      <pane ySplit="1" topLeftCell="A2" activePane="bottomLeft" state="frozen"/>
      <selection pane="bottomLeft" activeCell="A10" sqref="A10"/>
    </sheetView>
  </sheetViews>
  <sheetFormatPr defaultRowHeight="14.25" x14ac:dyDescent="0.2"/>
  <cols>
    <col min="1" max="1" width="14.5" bestFit="1" customWidth="1"/>
    <col min="2" max="2" width="11.296875" bestFit="1" customWidth="1"/>
    <col min="3" max="3" width="1.69921875" customWidth="1"/>
    <col min="4" max="4" width="9.296875" bestFit="1" customWidth="1"/>
    <col min="5" max="5" width="11.296875" bestFit="1" customWidth="1"/>
    <col min="6" max="6" width="11" bestFit="1" customWidth="1"/>
    <col min="7" max="7" width="7.796875" bestFit="1" customWidth="1"/>
    <col min="8" max="8" width="10.19921875" bestFit="1" customWidth="1"/>
    <col min="9" max="9" width="10.296875" bestFit="1" customWidth="1"/>
    <col min="10" max="10" width="1.69921875" customWidth="1"/>
    <col min="11" max="11" width="23.296875" bestFit="1" customWidth="1"/>
    <col min="12" max="12" width="28.59765625" bestFit="1" customWidth="1"/>
    <col min="13" max="13" width="11.296875" bestFit="1" customWidth="1"/>
  </cols>
  <sheetData>
    <row r="1" spans="1:12" x14ac:dyDescent="0.2">
      <c r="A1" t="s">
        <v>0</v>
      </c>
      <c r="B1" s="7">
        <v>44451</v>
      </c>
      <c r="D1" s="5" t="s">
        <v>0</v>
      </c>
      <c r="E1" s="5" t="s">
        <v>2</v>
      </c>
      <c r="F1" s="5" t="s">
        <v>1</v>
      </c>
      <c r="G1" s="5" t="s">
        <v>3</v>
      </c>
      <c r="H1" s="5" t="s">
        <v>4</v>
      </c>
      <c r="I1" s="5" t="s">
        <v>5</v>
      </c>
    </row>
    <row r="2" spans="1:12" x14ac:dyDescent="0.2">
      <c r="A2" t="s">
        <v>2</v>
      </c>
      <c r="B2" s="6">
        <v>167333.60999999999</v>
      </c>
      <c r="D2" s="8">
        <v>55093</v>
      </c>
      <c r="E2" s="9">
        <v>122333.60999999999</v>
      </c>
      <c r="F2" s="3">
        <v>2.6249999999999999E-2</v>
      </c>
      <c r="G2" s="2">
        <v>682.81</v>
      </c>
      <c r="H2" s="2">
        <v>267.60477187499993</v>
      </c>
      <c r="I2" s="2">
        <v>415.20522812500002</v>
      </c>
    </row>
    <row r="3" spans="1:12" x14ac:dyDescent="0.2">
      <c r="A3" t="s">
        <v>9</v>
      </c>
      <c r="B3" s="6">
        <v>45000</v>
      </c>
      <c r="D3" s="1">
        <v>55123</v>
      </c>
      <c r="E3" s="2">
        <v>121918.40477187498</v>
      </c>
      <c r="F3" s="3">
        <v>2.6249999999999999E-2</v>
      </c>
      <c r="G3" s="2">
        <v>682.81</v>
      </c>
      <c r="H3" s="2">
        <v>266.69651043847648</v>
      </c>
      <c r="I3" s="2">
        <v>416.11348956152347</v>
      </c>
    </row>
    <row r="4" spans="1:12" x14ac:dyDescent="0.2">
      <c r="D4" s="1">
        <v>55154</v>
      </c>
      <c r="E4" s="2">
        <v>121502.29128231345</v>
      </c>
      <c r="F4" s="3">
        <v>2.6249999999999999E-2</v>
      </c>
      <c r="G4" s="2">
        <v>682.81</v>
      </c>
      <c r="H4" s="2">
        <v>265.78626218006065</v>
      </c>
      <c r="I4" s="2">
        <v>417.0237378199393</v>
      </c>
    </row>
    <row r="5" spans="1:12" x14ac:dyDescent="0.2">
      <c r="D5" s="1">
        <v>55185</v>
      </c>
      <c r="E5" s="2">
        <v>121085.26754449352</v>
      </c>
      <c r="F5" s="3">
        <v>2.6249999999999999E-2</v>
      </c>
      <c r="G5" s="2">
        <v>682.81</v>
      </c>
      <c r="H5" s="2">
        <v>264.87402275357954</v>
      </c>
      <c r="I5" s="2">
        <v>417.93597724642041</v>
      </c>
      <c r="K5" s="10" t="s">
        <v>10</v>
      </c>
    </row>
    <row r="6" spans="1:12" x14ac:dyDescent="0.2">
      <c r="D6" s="1">
        <v>55213</v>
      </c>
      <c r="E6" s="2">
        <v>120667.33156724709</v>
      </c>
      <c r="F6" s="3">
        <v>2.6249999999999999E-2</v>
      </c>
      <c r="G6" s="2">
        <v>682.81</v>
      </c>
      <c r="H6" s="2">
        <v>263.95978780335298</v>
      </c>
      <c r="I6" s="2">
        <v>418.85021219664696</v>
      </c>
      <c r="K6" t="s">
        <v>12</v>
      </c>
      <c r="L6" s="2">
        <v>72667.735969851215</v>
      </c>
    </row>
    <row r="7" spans="1:12" x14ac:dyDescent="0.2">
      <c r="D7" s="1">
        <v>55244</v>
      </c>
      <c r="E7" s="2">
        <v>120248.48135505045</v>
      </c>
      <c r="F7" s="3">
        <v>2.6249999999999999E-2</v>
      </c>
      <c r="G7" s="2">
        <v>682.81</v>
      </c>
      <c r="H7" s="2">
        <v>263.04355296417282</v>
      </c>
      <c r="I7" s="2">
        <v>419.76644703582713</v>
      </c>
      <c r="K7" t="s">
        <v>13</v>
      </c>
      <c r="L7" s="11">
        <v>352</v>
      </c>
    </row>
    <row r="8" spans="1:12" x14ac:dyDescent="0.2">
      <c r="D8" s="1">
        <v>55274</v>
      </c>
      <c r="E8" s="2">
        <v>119828.71490801462</v>
      </c>
      <c r="F8" s="3">
        <v>2.6249999999999999E-2</v>
      </c>
      <c r="G8" s="2">
        <v>682.81</v>
      </c>
      <c r="H8" s="2">
        <v>262.12531386128194</v>
      </c>
      <c r="I8" s="2">
        <v>420.68468613871801</v>
      </c>
      <c r="K8" t="s">
        <v>14</v>
      </c>
      <c r="L8" s="2">
        <v>29.333333333333332</v>
      </c>
    </row>
    <row r="9" spans="1:12" x14ac:dyDescent="0.2">
      <c r="D9" s="1">
        <v>55305</v>
      </c>
      <c r="E9" s="2">
        <v>119408.0302218759</v>
      </c>
      <c r="F9" s="3">
        <v>2.6249999999999999E-2</v>
      </c>
      <c r="G9" s="2">
        <v>682.81</v>
      </c>
      <c r="H9" s="2">
        <v>261.20506611035353</v>
      </c>
      <c r="I9" s="2">
        <v>421.60493388964642</v>
      </c>
    </row>
    <row r="10" spans="1:12" x14ac:dyDescent="0.2">
      <c r="D10" s="1">
        <v>55335</v>
      </c>
      <c r="E10" s="2">
        <v>118986.42528798626</v>
      </c>
      <c r="F10" s="3">
        <v>2.6249999999999999E-2</v>
      </c>
      <c r="G10" s="2">
        <v>682.81</v>
      </c>
      <c r="H10" s="2">
        <v>260.28280531746992</v>
      </c>
      <c r="I10" s="2">
        <v>422.52719468253002</v>
      </c>
      <c r="K10" s="10" t="s">
        <v>11</v>
      </c>
    </row>
    <row r="11" spans="1:12" x14ac:dyDescent="0.2">
      <c r="D11" s="1">
        <v>55366</v>
      </c>
      <c r="E11" s="2">
        <v>118563.89809330374</v>
      </c>
      <c r="F11" s="3">
        <v>2.6249999999999999E-2</v>
      </c>
      <c r="G11" s="2">
        <v>682.81</v>
      </c>
      <c r="H11" s="2">
        <v>259.35852707910192</v>
      </c>
      <c r="I11" s="2">
        <v>423.45147292089803</v>
      </c>
      <c r="K11" t="s">
        <v>12</v>
      </c>
      <c r="L11" s="2">
        <v>33108.289246773915</v>
      </c>
    </row>
    <row r="12" spans="1:12" x14ac:dyDescent="0.2">
      <c r="D12" s="1">
        <v>55397</v>
      </c>
      <c r="E12" s="2">
        <v>118140.44662038283</v>
      </c>
      <c r="F12" s="3">
        <v>2.6249999999999999E-2</v>
      </c>
      <c r="G12" s="2">
        <v>682.81</v>
      </c>
      <c r="H12" s="2">
        <v>258.4322269820874</v>
      </c>
      <c r="I12" s="2">
        <v>424.37777301791255</v>
      </c>
      <c r="K12" t="s">
        <v>13</v>
      </c>
      <c r="L12" s="11">
        <v>228</v>
      </c>
    </row>
    <row r="13" spans="1:12" x14ac:dyDescent="0.2">
      <c r="D13" s="1">
        <v>55427</v>
      </c>
      <c r="E13" s="2">
        <v>117716.06884736492</v>
      </c>
      <c r="F13" s="3">
        <v>2.6249999999999999E-2</v>
      </c>
      <c r="G13" s="2">
        <v>682.81</v>
      </c>
      <c r="H13" s="2">
        <v>257.50390060361076</v>
      </c>
      <c r="I13" s="2">
        <v>425.30609939638919</v>
      </c>
      <c r="K13" t="s">
        <v>14</v>
      </c>
      <c r="L13" s="2">
        <v>19</v>
      </c>
    </row>
    <row r="14" spans="1:12" x14ac:dyDescent="0.2">
      <c r="D14" s="1">
        <v>55458</v>
      </c>
      <c r="E14" s="2">
        <v>117290.76274796853</v>
      </c>
      <c r="F14" s="3">
        <v>2.6249999999999999E-2</v>
      </c>
      <c r="G14" s="2">
        <v>682.81</v>
      </c>
      <c r="H14" s="2">
        <v>256.57354351118113</v>
      </c>
      <c r="I14" s="2">
        <v>426.23645648881882</v>
      </c>
    </row>
    <row r="15" spans="1:12" x14ac:dyDescent="0.2">
      <c r="D15" s="1">
        <v>55488</v>
      </c>
      <c r="E15" s="2">
        <v>116864.52629147972</v>
      </c>
      <c r="F15" s="3">
        <v>2.6249999999999999E-2</v>
      </c>
      <c r="G15" s="2">
        <v>682.81</v>
      </c>
      <c r="H15" s="2">
        <v>255.64115126261186</v>
      </c>
      <c r="I15" s="2">
        <v>427.16884873738809</v>
      </c>
      <c r="K15" s="10" t="s">
        <v>15</v>
      </c>
    </row>
    <row r="16" spans="1:12" x14ac:dyDescent="0.2">
      <c r="D16" s="1">
        <v>55519</v>
      </c>
      <c r="E16" s="2">
        <v>116437.35744274233</v>
      </c>
      <c r="F16" s="3">
        <v>2.6249999999999999E-2</v>
      </c>
      <c r="G16" s="2">
        <v>682.81</v>
      </c>
      <c r="H16" s="2">
        <v>254.70671940599883</v>
      </c>
      <c r="I16" s="2">
        <v>428.10328059400115</v>
      </c>
      <c r="K16" t="s">
        <v>12</v>
      </c>
      <c r="L16" s="2">
        <f>+L6-L11</f>
        <v>39559.446723077301</v>
      </c>
    </row>
    <row r="17" spans="4:12" x14ac:dyDescent="0.2">
      <c r="D17" s="1">
        <v>55550</v>
      </c>
      <c r="E17" s="2">
        <v>116009.25416214833</v>
      </c>
      <c r="F17" s="3">
        <v>2.6249999999999999E-2</v>
      </c>
      <c r="G17" s="2">
        <v>682.81</v>
      </c>
      <c r="H17" s="2">
        <v>253.77024347969945</v>
      </c>
      <c r="I17" s="2">
        <v>429.0397565203005</v>
      </c>
      <c r="K17" t="s">
        <v>13</v>
      </c>
      <c r="L17" s="11">
        <f>+L7-L12</f>
        <v>124</v>
      </c>
    </row>
    <row r="18" spans="4:12" x14ac:dyDescent="0.2">
      <c r="D18" s="1">
        <v>55579</v>
      </c>
      <c r="E18" s="2">
        <v>115580.21440562802</v>
      </c>
      <c r="F18" s="3">
        <v>2.6249999999999999E-2</v>
      </c>
      <c r="G18" s="2">
        <v>682.81</v>
      </c>
      <c r="H18" s="2">
        <v>252.83171901231128</v>
      </c>
      <c r="I18" s="2">
        <v>429.97828098768866</v>
      </c>
      <c r="K18" t="s">
        <v>14</v>
      </c>
      <c r="L18" s="2">
        <f>+L8-L13</f>
        <v>10.333333333333332</v>
      </c>
    </row>
    <row r="19" spans="4:12" x14ac:dyDescent="0.2">
      <c r="D19" s="1">
        <v>55610</v>
      </c>
      <c r="E19" s="2">
        <v>115150.23612464033</v>
      </c>
      <c r="F19" s="3">
        <v>2.6249999999999999E-2</v>
      </c>
      <c r="G19" s="2">
        <v>682.81</v>
      </c>
      <c r="H19" s="2">
        <v>251.89114152265068</v>
      </c>
      <c r="I19" s="2">
        <v>430.91885847734926</v>
      </c>
    </row>
    <row r="20" spans="4:12" x14ac:dyDescent="0.2">
      <c r="D20" s="1">
        <v>55640</v>
      </c>
      <c r="E20" s="2">
        <v>114719.31726616298</v>
      </c>
      <c r="F20" s="3">
        <v>2.6249999999999999E-2</v>
      </c>
      <c r="G20" s="2">
        <v>682.81</v>
      </c>
      <c r="H20" s="2">
        <v>250.9485065197315</v>
      </c>
      <c r="I20" s="2">
        <v>431.86149348026845</v>
      </c>
    </row>
    <row r="21" spans="4:12" x14ac:dyDescent="0.2">
      <c r="D21" s="1">
        <v>55671</v>
      </c>
      <c r="E21" s="2">
        <v>114287.4557726827</v>
      </c>
      <c r="F21" s="3">
        <v>2.6249999999999999E-2</v>
      </c>
      <c r="G21" s="2">
        <v>682.81</v>
      </c>
      <c r="H21" s="2">
        <v>250.00380950274339</v>
      </c>
      <c r="I21" s="2">
        <v>432.80619049725658</v>
      </c>
    </row>
    <row r="22" spans="4:12" x14ac:dyDescent="0.2">
      <c r="D22" s="1">
        <v>55701</v>
      </c>
      <c r="E22" s="2">
        <v>113854.64958218545</v>
      </c>
      <c r="F22" s="3">
        <v>2.6249999999999999E-2</v>
      </c>
      <c r="G22" s="2">
        <v>682.81</v>
      </c>
      <c r="H22" s="2">
        <v>249.05704596103064</v>
      </c>
      <c r="I22" s="2">
        <v>433.75295403896928</v>
      </c>
    </row>
    <row r="23" spans="4:12" x14ac:dyDescent="0.2">
      <c r="D23" s="1">
        <v>55732</v>
      </c>
      <c r="E23" s="2">
        <v>113420.89662814648</v>
      </c>
      <c r="F23" s="3">
        <v>2.6249999999999999E-2</v>
      </c>
      <c r="G23" s="2">
        <v>682.81</v>
      </c>
      <c r="H23" s="2">
        <v>248.10821137407041</v>
      </c>
      <c r="I23" s="2">
        <v>434.70178862592957</v>
      </c>
    </row>
    <row r="24" spans="4:12" x14ac:dyDescent="0.2">
      <c r="D24" s="1">
        <v>55763</v>
      </c>
      <c r="E24" s="2">
        <v>112986.19483952055</v>
      </c>
      <c r="F24" s="3">
        <v>2.6249999999999999E-2</v>
      </c>
      <c r="G24" s="2">
        <v>682.81</v>
      </c>
      <c r="H24" s="2">
        <v>247.1573012114512</v>
      </c>
      <c r="I24" s="2">
        <v>435.65269878854872</v>
      </c>
    </row>
    <row r="25" spans="4:12" x14ac:dyDescent="0.2">
      <c r="D25" s="1">
        <v>55793</v>
      </c>
      <c r="E25" s="2">
        <v>112550.54214073201</v>
      </c>
      <c r="F25" s="3">
        <v>2.6249999999999999E-2</v>
      </c>
      <c r="G25" s="2">
        <v>682.81</v>
      </c>
      <c r="H25" s="2">
        <v>246.20431093285126</v>
      </c>
      <c r="I25" s="2">
        <v>436.60568906714866</v>
      </c>
    </row>
    <row r="26" spans="4:12" x14ac:dyDescent="0.2">
      <c r="D26" s="1">
        <v>55824</v>
      </c>
      <c r="E26" s="2">
        <v>112113.93645166486</v>
      </c>
      <c r="F26" s="3">
        <v>2.6249999999999999E-2</v>
      </c>
      <c r="G26" s="2">
        <v>682.81</v>
      </c>
      <c r="H26" s="2">
        <v>245.24923598801686</v>
      </c>
      <c r="I26" s="2">
        <v>437.56076401198311</v>
      </c>
    </row>
    <row r="27" spans="4:12" x14ac:dyDescent="0.2">
      <c r="D27" s="1">
        <v>55854</v>
      </c>
      <c r="E27" s="2">
        <v>111676.37568765288</v>
      </c>
      <c r="F27" s="3">
        <v>2.6249999999999999E-2</v>
      </c>
      <c r="G27" s="2">
        <v>682.81</v>
      </c>
      <c r="H27" s="2">
        <v>244.29207181674064</v>
      </c>
      <c r="I27" s="2">
        <v>438.5179281832593</v>
      </c>
    </row>
    <row r="28" spans="4:12" x14ac:dyDescent="0.2">
      <c r="D28" s="1">
        <v>55885</v>
      </c>
      <c r="E28" s="2">
        <v>111237.85775946963</v>
      </c>
      <c r="F28" s="3">
        <v>2.6249999999999999E-2</v>
      </c>
      <c r="G28" s="2">
        <v>682.81</v>
      </c>
      <c r="H28" s="2">
        <v>243.33281384883978</v>
      </c>
      <c r="I28" s="2">
        <v>439.47718615116014</v>
      </c>
    </row>
    <row r="29" spans="4:12" x14ac:dyDescent="0.2">
      <c r="D29" s="1">
        <v>55916</v>
      </c>
      <c r="E29" s="2">
        <v>110798.38057331847</v>
      </c>
      <c r="F29" s="3">
        <v>2.6249999999999999E-2</v>
      </c>
      <c r="G29" s="2">
        <v>682.81</v>
      </c>
      <c r="H29" s="2">
        <v>242.37145750413413</v>
      </c>
      <c r="I29" s="2">
        <v>440.43854249586582</v>
      </c>
    </row>
    <row r="30" spans="4:12" x14ac:dyDescent="0.2">
      <c r="D30" s="1">
        <v>55944</v>
      </c>
      <c r="E30" s="2">
        <v>110357.94203082261</v>
      </c>
      <c r="F30" s="3">
        <v>2.6249999999999999E-2</v>
      </c>
      <c r="G30" s="2">
        <v>682.81</v>
      </c>
      <c r="H30" s="2">
        <v>241.40799819242443</v>
      </c>
      <c r="I30" s="2">
        <v>441.40200180757552</v>
      </c>
    </row>
    <row r="31" spans="4:12" x14ac:dyDescent="0.2">
      <c r="D31" s="1">
        <v>55975</v>
      </c>
      <c r="E31" s="2">
        <v>109916.54002901503</v>
      </c>
      <c r="F31" s="3">
        <v>2.6249999999999999E-2</v>
      </c>
      <c r="G31" s="2">
        <v>682.81</v>
      </c>
      <c r="H31" s="2">
        <v>240.44243131347034</v>
      </c>
      <c r="I31" s="2">
        <v>442.36756868652958</v>
      </c>
    </row>
    <row r="32" spans="4:12" x14ac:dyDescent="0.2">
      <c r="D32" s="1">
        <v>56005</v>
      </c>
      <c r="E32" s="2">
        <v>109474.1724603285</v>
      </c>
      <c r="F32" s="3">
        <v>2.6249999999999999E-2</v>
      </c>
      <c r="G32" s="2">
        <v>682.81</v>
      </c>
      <c r="H32" s="2">
        <v>239.47475225696857</v>
      </c>
      <c r="I32" s="2">
        <v>443.33524774303135</v>
      </c>
    </row>
    <row r="33" spans="4:9" x14ac:dyDescent="0.2">
      <c r="D33" s="1">
        <v>56036</v>
      </c>
      <c r="E33" s="2">
        <v>109030.83721258547</v>
      </c>
      <c r="F33" s="3">
        <v>2.6249999999999999E-2</v>
      </c>
      <c r="G33" s="2">
        <v>682.81</v>
      </c>
      <c r="H33" s="2">
        <v>238.50495640253069</v>
      </c>
      <c r="I33" s="2">
        <v>444.30504359746925</v>
      </c>
    </row>
    <row r="34" spans="4:9" x14ac:dyDescent="0.2">
      <c r="D34" s="1">
        <v>56066</v>
      </c>
      <c r="E34" s="2">
        <v>108586.53216898799</v>
      </c>
      <c r="F34" s="3">
        <v>2.6249999999999999E-2</v>
      </c>
      <c r="G34" s="2">
        <v>682.81</v>
      </c>
      <c r="H34" s="2">
        <v>237.5330391196612</v>
      </c>
      <c r="I34" s="2">
        <v>445.27696088033872</v>
      </c>
    </row>
    <row r="35" spans="4:9" x14ac:dyDescent="0.2">
      <c r="D35" s="1">
        <v>56097</v>
      </c>
      <c r="E35" s="2">
        <v>108141.25520810766</v>
      </c>
      <c r="F35" s="3">
        <v>2.6249999999999999E-2</v>
      </c>
      <c r="G35" s="2">
        <v>682.81</v>
      </c>
      <c r="H35" s="2">
        <v>236.55899576773547</v>
      </c>
      <c r="I35" s="2">
        <v>446.25100423226445</v>
      </c>
    </row>
    <row r="36" spans="4:9" x14ac:dyDescent="0.2">
      <c r="D36" s="1">
        <v>56128</v>
      </c>
      <c r="E36" s="2">
        <v>107695.00420387539</v>
      </c>
      <c r="F36" s="3">
        <v>2.6249999999999999E-2</v>
      </c>
      <c r="G36" s="2">
        <v>682.81</v>
      </c>
      <c r="H36" s="2">
        <v>235.5828216959774</v>
      </c>
      <c r="I36" s="2">
        <v>447.22717830402257</v>
      </c>
    </row>
    <row r="37" spans="4:9" x14ac:dyDescent="0.2">
      <c r="D37" s="1">
        <v>56158</v>
      </c>
      <c r="E37" s="2">
        <v>107247.77702557137</v>
      </c>
      <c r="F37" s="3">
        <v>2.6249999999999999E-2</v>
      </c>
      <c r="G37" s="2">
        <v>682.81</v>
      </c>
      <c r="H37" s="2">
        <v>234.60451224343734</v>
      </c>
      <c r="I37" s="2">
        <v>448.2054877565626</v>
      </c>
    </row>
    <row r="38" spans="4:9" x14ac:dyDescent="0.2">
      <c r="D38" s="1">
        <v>56189</v>
      </c>
      <c r="E38" s="2">
        <v>106799.5715378148</v>
      </c>
      <c r="F38" s="3">
        <v>2.6249999999999999E-2</v>
      </c>
      <c r="G38" s="2">
        <v>682.81</v>
      </c>
      <c r="H38" s="2">
        <v>233.62406273896985</v>
      </c>
      <c r="I38" s="2">
        <v>449.18593726103006</v>
      </c>
    </row>
    <row r="39" spans="4:9" x14ac:dyDescent="0.2">
      <c r="D39" s="1">
        <v>56219</v>
      </c>
      <c r="E39" s="2">
        <v>106350.38560055377</v>
      </c>
      <c r="F39" s="3">
        <v>2.6249999999999999E-2</v>
      </c>
      <c r="G39" s="2">
        <v>682.81</v>
      </c>
      <c r="H39" s="2">
        <v>232.64146850121134</v>
      </c>
      <c r="I39" s="2">
        <v>450.16853149878864</v>
      </c>
    </row>
    <row r="40" spans="4:9" x14ac:dyDescent="0.2">
      <c r="D40" s="1">
        <v>56250</v>
      </c>
      <c r="E40" s="2">
        <v>105900.21706905498</v>
      </c>
      <c r="F40" s="3">
        <v>2.6249999999999999E-2</v>
      </c>
      <c r="G40" s="2">
        <v>682.81</v>
      </c>
      <c r="H40" s="2">
        <v>231.65672483855775</v>
      </c>
      <c r="I40" s="2">
        <v>451.1532751614422</v>
      </c>
    </row>
    <row r="41" spans="4:9" x14ac:dyDescent="0.2">
      <c r="D41" s="1">
        <v>56281</v>
      </c>
      <c r="E41" s="2">
        <v>105449.06379389354</v>
      </c>
      <c r="F41" s="3">
        <v>2.6249999999999999E-2</v>
      </c>
      <c r="G41" s="2">
        <v>682.81</v>
      </c>
      <c r="H41" s="2">
        <v>230.6698270491421</v>
      </c>
      <c r="I41" s="2">
        <v>452.14017295085785</v>
      </c>
    </row>
    <row r="42" spans="4:9" x14ac:dyDescent="0.2">
      <c r="D42" s="1">
        <v>56309</v>
      </c>
      <c r="E42" s="2">
        <v>104996.92362094269</v>
      </c>
      <c r="F42" s="3">
        <v>2.6249999999999999E-2</v>
      </c>
      <c r="G42" s="2">
        <v>682.81</v>
      </c>
      <c r="H42" s="2">
        <v>229.68077042081211</v>
      </c>
      <c r="I42" s="2">
        <v>453.12922957918784</v>
      </c>
    </row>
    <row r="43" spans="4:9" x14ac:dyDescent="0.2">
      <c r="D43" s="1">
        <v>56340</v>
      </c>
      <c r="E43" s="2">
        <v>104543.7943913635</v>
      </c>
      <c r="F43" s="3">
        <v>2.6249999999999999E-2</v>
      </c>
      <c r="G43" s="2">
        <v>682.81</v>
      </c>
      <c r="H43" s="2">
        <v>228.68955023110763</v>
      </c>
      <c r="I43" s="2">
        <v>454.12044976889229</v>
      </c>
    </row>
    <row r="44" spans="4:9" x14ac:dyDescent="0.2">
      <c r="D44" s="1">
        <v>56370</v>
      </c>
      <c r="E44" s="2">
        <v>104089.67394159461</v>
      </c>
      <c r="F44" s="3">
        <v>2.6249999999999999E-2</v>
      </c>
      <c r="G44" s="2">
        <v>682.81</v>
      </c>
      <c r="H44" s="2">
        <v>227.69616174723816</v>
      </c>
      <c r="I44" s="2">
        <v>455.11383825276175</v>
      </c>
    </row>
    <row r="45" spans="4:9" x14ac:dyDescent="0.2">
      <c r="D45" s="1">
        <v>56401</v>
      </c>
      <c r="E45" s="2">
        <v>103634.56010334185</v>
      </c>
      <c r="F45" s="3">
        <v>2.6249999999999999E-2</v>
      </c>
      <c r="G45" s="2">
        <v>682.81</v>
      </c>
      <c r="H45" s="2">
        <v>226.70060022606026</v>
      </c>
      <c r="I45" s="2">
        <v>456.10939977393969</v>
      </c>
    </row>
    <row r="46" spans="4:9" x14ac:dyDescent="0.2">
      <c r="D46" s="1">
        <v>56431</v>
      </c>
      <c r="E46" s="2">
        <v>103178.45070356791</v>
      </c>
      <c r="F46" s="3">
        <v>2.6249999999999999E-2</v>
      </c>
      <c r="G46" s="2">
        <v>682.81</v>
      </c>
      <c r="H46" s="2">
        <v>225.70286091405478</v>
      </c>
      <c r="I46" s="2">
        <v>457.10713908594516</v>
      </c>
    </row>
    <row r="47" spans="4:9" x14ac:dyDescent="0.2">
      <c r="D47" s="1">
        <v>56462</v>
      </c>
      <c r="E47" s="2">
        <v>102721.34356448197</v>
      </c>
      <c r="F47" s="3">
        <v>2.6249999999999999E-2</v>
      </c>
      <c r="G47" s="2">
        <v>682.81</v>
      </c>
      <c r="H47" s="2">
        <v>224.70293904730428</v>
      </c>
      <c r="I47" s="2">
        <v>458.10706095269563</v>
      </c>
    </row>
    <row r="48" spans="4:9" x14ac:dyDescent="0.2">
      <c r="D48" s="1">
        <v>56493</v>
      </c>
      <c r="E48" s="2">
        <v>102263.23650352928</v>
      </c>
      <c r="F48" s="3">
        <v>2.6249999999999999E-2</v>
      </c>
      <c r="G48" s="2">
        <v>682.81</v>
      </c>
      <c r="H48" s="2">
        <v>223.70082985147027</v>
      </c>
      <c r="I48" s="2">
        <v>459.10917014852964</v>
      </c>
    </row>
    <row r="49" spans="4:9" x14ac:dyDescent="0.2">
      <c r="D49" s="1">
        <v>56523</v>
      </c>
      <c r="E49" s="2">
        <v>101804.12733338075</v>
      </c>
      <c r="F49" s="3">
        <v>2.6249999999999999E-2</v>
      </c>
      <c r="G49" s="2">
        <v>682.81</v>
      </c>
      <c r="H49" s="2">
        <v>222.69652854177036</v>
      </c>
      <c r="I49" s="2">
        <v>460.11347145822958</v>
      </c>
    </row>
    <row r="50" spans="4:9" x14ac:dyDescent="0.2">
      <c r="D50" s="1">
        <v>56554</v>
      </c>
      <c r="E50" s="2">
        <v>101344.01386192252</v>
      </c>
      <c r="F50" s="3">
        <v>2.6249999999999999E-2</v>
      </c>
      <c r="G50" s="2">
        <v>682.81</v>
      </c>
      <c r="H50" s="2">
        <v>221.69003032295549</v>
      </c>
      <c r="I50" s="2">
        <v>461.11996967704442</v>
      </c>
    </row>
    <row r="51" spans="4:9" x14ac:dyDescent="0.2">
      <c r="D51" s="1">
        <v>56584</v>
      </c>
      <c r="E51" s="2">
        <v>100882.89389224547</v>
      </c>
      <c r="F51" s="3">
        <v>2.6249999999999999E-2</v>
      </c>
      <c r="G51" s="2">
        <v>682.81</v>
      </c>
      <c r="H51" s="2">
        <v>220.68133038928693</v>
      </c>
      <c r="I51" s="2">
        <v>462.12866961071302</v>
      </c>
    </row>
    <row r="52" spans="4:9" x14ac:dyDescent="0.2">
      <c r="D52" s="1">
        <v>56615</v>
      </c>
      <c r="E52" s="2">
        <v>100420.76522263476</v>
      </c>
      <c r="F52" s="3">
        <v>2.6249999999999999E-2</v>
      </c>
      <c r="G52" s="2">
        <v>682.81</v>
      </c>
      <c r="H52" s="2">
        <v>219.6704239245135</v>
      </c>
      <c r="I52" s="2">
        <v>463.13957607548645</v>
      </c>
    </row>
    <row r="53" spans="4:9" x14ac:dyDescent="0.2">
      <c r="D53" s="1">
        <v>56646</v>
      </c>
      <c r="E53" s="2">
        <v>99957.625646559274</v>
      </c>
      <c r="F53" s="3">
        <v>2.6249999999999999E-2</v>
      </c>
      <c r="G53" s="2">
        <v>682.81</v>
      </c>
      <c r="H53" s="2">
        <v>218.65730610184838</v>
      </c>
      <c r="I53" s="2">
        <v>464.1526938981516</v>
      </c>
    </row>
    <row r="54" spans="4:9" x14ac:dyDescent="0.2">
      <c r="D54" s="1">
        <v>56674</v>
      </c>
      <c r="E54" s="2">
        <v>99493.472952661119</v>
      </c>
      <c r="F54" s="3">
        <v>2.6249999999999999E-2</v>
      </c>
      <c r="G54" s="2">
        <v>682.81</v>
      </c>
      <c r="H54" s="2">
        <v>217.64197208394617</v>
      </c>
      <c r="I54" s="2">
        <v>465.1680279160538</v>
      </c>
    </row>
    <row r="55" spans="4:9" x14ac:dyDescent="0.2">
      <c r="D55" s="1">
        <v>56705</v>
      </c>
      <c r="E55" s="2">
        <v>99028.304924745069</v>
      </c>
      <c r="F55" s="3">
        <v>2.6249999999999999E-2</v>
      </c>
      <c r="G55" s="2">
        <v>682.81</v>
      </c>
      <c r="H55" s="2">
        <v>216.62441702287981</v>
      </c>
      <c r="I55" s="2">
        <v>466.18558297712013</v>
      </c>
    </row>
    <row r="56" spans="4:9" x14ac:dyDescent="0.2">
      <c r="D56" s="1">
        <v>56735</v>
      </c>
      <c r="E56" s="2">
        <v>98562.119341767946</v>
      </c>
      <c r="F56" s="3">
        <v>2.6249999999999999E-2</v>
      </c>
      <c r="G56" s="2">
        <v>682.81</v>
      </c>
      <c r="H56" s="2">
        <v>215.60463606011737</v>
      </c>
      <c r="I56" s="2">
        <v>467.20536393988255</v>
      </c>
    </row>
    <row r="57" spans="4:9" x14ac:dyDescent="0.2">
      <c r="D57" s="1">
        <v>56766</v>
      </c>
      <c r="E57" s="2">
        <v>98094.913977828066</v>
      </c>
      <c r="F57" s="3">
        <v>2.6249999999999999E-2</v>
      </c>
      <c r="G57" s="2">
        <v>682.81</v>
      </c>
      <c r="H57" s="2">
        <v>214.58262432649886</v>
      </c>
      <c r="I57" s="2">
        <v>468.22737567350111</v>
      </c>
    </row>
    <row r="58" spans="4:9" x14ac:dyDescent="0.2">
      <c r="D58" s="1">
        <v>56796</v>
      </c>
      <c r="E58" s="2">
        <v>97626.686602154572</v>
      </c>
      <c r="F58" s="3">
        <v>2.6249999999999999E-2</v>
      </c>
      <c r="G58" s="2">
        <v>682.81</v>
      </c>
      <c r="H58" s="2">
        <v>213.5583769422131</v>
      </c>
      <c r="I58" s="2">
        <v>469.25162305778684</v>
      </c>
    </row>
    <row r="59" spans="4:9" x14ac:dyDescent="0.2">
      <c r="D59" s="1">
        <v>56827</v>
      </c>
      <c r="E59" s="2">
        <v>97157.434979096783</v>
      </c>
      <c r="F59" s="3">
        <v>2.6249999999999999E-2</v>
      </c>
      <c r="G59" s="2">
        <v>682.81</v>
      </c>
      <c r="H59" s="2">
        <v>212.53188901677419</v>
      </c>
      <c r="I59" s="2">
        <v>470.27811098322576</v>
      </c>
    </row>
    <row r="60" spans="4:9" x14ac:dyDescent="0.2">
      <c r="D60" s="1">
        <v>56858</v>
      </c>
      <c r="E60" s="2">
        <v>96687.156868113554</v>
      </c>
      <c r="F60" s="3">
        <v>2.6249999999999999E-2</v>
      </c>
      <c r="G60" s="2">
        <v>682.81</v>
      </c>
      <c r="H60" s="2">
        <v>211.50315564899839</v>
      </c>
      <c r="I60" s="2">
        <v>471.30684435100159</v>
      </c>
    </row>
    <row r="61" spans="4:9" x14ac:dyDescent="0.2">
      <c r="D61" s="1">
        <v>56888</v>
      </c>
      <c r="E61" s="2">
        <v>96215.850023762556</v>
      </c>
      <c r="F61" s="3">
        <v>2.6249999999999999E-2</v>
      </c>
      <c r="G61" s="2">
        <v>682.81</v>
      </c>
      <c r="H61" s="2">
        <v>210.47217192698056</v>
      </c>
      <c r="I61" s="2">
        <v>472.33782807301941</v>
      </c>
    </row>
    <row r="62" spans="4:9" x14ac:dyDescent="0.2">
      <c r="D62" s="1">
        <v>56919</v>
      </c>
      <c r="E62" s="2">
        <v>95743.512195689531</v>
      </c>
      <c r="F62" s="3">
        <v>2.6249999999999999E-2</v>
      </c>
      <c r="G62" s="2">
        <v>682.81</v>
      </c>
      <c r="H62" s="2">
        <v>209.43893292807084</v>
      </c>
      <c r="I62" s="2">
        <v>473.37106707192913</v>
      </c>
    </row>
    <row r="63" spans="4:9" x14ac:dyDescent="0.2">
      <c r="D63" s="1">
        <v>56949</v>
      </c>
      <c r="E63" s="2">
        <v>95270.141128617601</v>
      </c>
      <c r="F63" s="3">
        <v>2.6249999999999999E-2</v>
      </c>
      <c r="G63" s="2">
        <v>682.81</v>
      </c>
      <c r="H63" s="2">
        <v>208.40343371885098</v>
      </c>
      <c r="I63" s="2">
        <v>474.40656628114897</v>
      </c>
    </row>
    <row r="64" spans="4:9" x14ac:dyDescent="0.2">
      <c r="D64" s="1">
        <v>56980</v>
      </c>
      <c r="E64" s="2">
        <v>94795.734562336453</v>
      </c>
      <c r="F64" s="3">
        <v>2.6249999999999999E-2</v>
      </c>
      <c r="G64" s="2">
        <v>682.81</v>
      </c>
      <c r="H64" s="2">
        <v>207.36566935511098</v>
      </c>
      <c r="I64" s="2">
        <v>475.44433064488896</v>
      </c>
    </row>
    <row r="65" spans="4:9" x14ac:dyDescent="0.2">
      <c r="D65" s="1">
        <v>57011</v>
      </c>
      <c r="E65" s="2">
        <v>94320.290231691557</v>
      </c>
      <c r="F65" s="3">
        <v>2.6249999999999999E-2</v>
      </c>
      <c r="G65" s="2">
        <v>682.81</v>
      </c>
      <c r="H65" s="2">
        <v>206.32563488182527</v>
      </c>
      <c r="I65" s="2">
        <v>476.48436511817465</v>
      </c>
    </row>
    <row r="66" spans="4:9" x14ac:dyDescent="0.2">
      <c r="D66" s="1">
        <v>57040</v>
      </c>
      <c r="E66" s="2">
        <v>93843.805866573384</v>
      </c>
      <c r="F66" s="3">
        <v>2.6249999999999999E-2</v>
      </c>
      <c r="G66" s="2">
        <v>682.81</v>
      </c>
      <c r="H66" s="2">
        <v>205.28332533312926</v>
      </c>
      <c r="I66" s="2">
        <v>477.52667466687069</v>
      </c>
    </row>
    <row r="67" spans="4:9" x14ac:dyDescent="0.2">
      <c r="D67" s="1">
        <v>57071</v>
      </c>
      <c r="E67" s="2">
        <v>93366.27919190652</v>
      </c>
      <c r="F67" s="3">
        <v>2.6249999999999999E-2</v>
      </c>
      <c r="G67" s="2">
        <v>682.81</v>
      </c>
      <c r="H67" s="2">
        <v>204.23873573229548</v>
      </c>
      <c r="I67" s="2">
        <v>478.57126426770446</v>
      </c>
    </row>
    <row r="68" spans="4:9" x14ac:dyDescent="0.2">
      <c r="D68" s="1">
        <v>57101</v>
      </c>
      <c r="E68" s="2">
        <v>92887.70792763881</v>
      </c>
      <c r="F68" s="3">
        <v>2.6249999999999999E-2</v>
      </c>
      <c r="G68" s="2">
        <v>682.81</v>
      </c>
      <c r="H68" s="2">
        <v>203.19186109170988</v>
      </c>
      <c r="I68" s="2">
        <v>479.61813890829006</v>
      </c>
    </row>
    <row r="69" spans="4:9" x14ac:dyDescent="0.2">
      <c r="D69" s="1">
        <v>57132</v>
      </c>
      <c r="E69" s="2">
        <v>92408.089788730518</v>
      </c>
      <c r="F69" s="3">
        <v>2.6249999999999999E-2</v>
      </c>
      <c r="G69" s="2">
        <v>682.81</v>
      </c>
      <c r="H69" s="2">
        <v>202.14269641284798</v>
      </c>
      <c r="I69" s="2">
        <v>480.66730358715199</v>
      </c>
    </row>
    <row r="70" spans="4:9" x14ac:dyDescent="0.2">
      <c r="D70" s="1">
        <v>57162</v>
      </c>
      <c r="E70" s="2">
        <v>91927.422485143368</v>
      </c>
      <c r="F70" s="3">
        <v>2.6249999999999999E-2</v>
      </c>
      <c r="G70" s="2">
        <v>682.81</v>
      </c>
      <c r="H70" s="2">
        <v>201.09123668625111</v>
      </c>
      <c r="I70" s="2">
        <v>481.71876331374881</v>
      </c>
    </row>
    <row r="71" spans="4:9" x14ac:dyDescent="0.2">
      <c r="D71" s="1">
        <v>57193</v>
      </c>
      <c r="E71" s="2">
        <v>91445.703721829617</v>
      </c>
      <c r="F71" s="3">
        <v>2.6249999999999999E-2</v>
      </c>
      <c r="G71" s="2">
        <v>682.81</v>
      </c>
      <c r="H71" s="2">
        <v>200.03747689150228</v>
      </c>
      <c r="I71" s="2">
        <v>482.77252310849769</v>
      </c>
    </row>
    <row r="72" spans="4:9" x14ac:dyDescent="0.2">
      <c r="D72" s="1">
        <v>57224</v>
      </c>
      <c r="E72" s="2">
        <v>90962.931198721126</v>
      </c>
      <c r="F72" s="3">
        <v>2.6249999999999999E-2</v>
      </c>
      <c r="G72" s="2">
        <v>682.81</v>
      </c>
      <c r="H72" s="2">
        <v>198.98141199720243</v>
      </c>
      <c r="I72" s="2">
        <v>483.82858800279752</v>
      </c>
    </row>
    <row r="73" spans="4:9" x14ac:dyDescent="0.2">
      <c r="D73" s="1">
        <v>57254</v>
      </c>
      <c r="E73" s="2">
        <v>90479.102610718328</v>
      </c>
      <c r="F73" s="3">
        <v>2.6249999999999999E-2</v>
      </c>
      <c r="G73" s="2">
        <v>682.81</v>
      </c>
      <c r="H73" s="2">
        <v>197.92303696094632</v>
      </c>
      <c r="I73" s="2">
        <v>484.88696303905363</v>
      </c>
    </row>
    <row r="74" spans="4:9" x14ac:dyDescent="0.2">
      <c r="D74" s="1">
        <v>57285</v>
      </c>
      <c r="E74" s="2">
        <v>89994.215647679273</v>
      </c>
      <c r="F74" s="3">
        <v>2.6249999999999999E-2</v>
      </c>
      <c r="G74" s="2">
        <v>682.81</v>
      </c>
      <c r="H74" s="2">
        <v>196.86234672929839</v>
      </c>
      <c r="I74" s="2">
        <v>485.94765327070155</v>
      </c>
    </row>
    <row r="75" spans="4:9" x14ac:dyDescent="0.2">
      <c r="D75" s="1">
        <v>57315</v>
      </c>
      <c r="E75" s="2">
        <v>89508.267994408568</v>
      </c>
      <c r="F75" s="3">
        <v>2.6249999999999999E-2</v>
      </c>
      <c r="G75" s="2">
        <v>682.81</v>
      </c>
      <c r="H75" s="2">
        <v>195.79933623776873</v>
      </c>
      <c r="I75" s="2">
        <v>487.01066376223122</v>
      </c>
    </row>
    <row r="76" spans="4:9" x14ac:dyDescent="0.2">
      <c r="D76" s="1">
        <v>57346</v>
      </c>
      <c r="E76" s="2">
        <v>89021.257330646331</v>
      </c>
      <c r="F76" s="3">
        <v>2.6249999999999999E-2</v>
      </c>
      <c r="G76" s="2">
        <v>682.81</v>
      </c>
      <c r="H76" s="2">
        <v>194.73400041078884</v>
      </c>
      <c r="I76" s="2">
        <v>488.07599958921111</v>
      </c>
    </row>
    <row r="77" spans="4:9" x14ac:dyDescent="0.2">
      <c r="D77" s="1">
        <v>57377</v>
      </c>
      <c r="E77" s="2">
        <v>88533.181331057116</v>
      </c>
      <c r="F77" s="3">
        <v>2.6249999999999999E-2</v>
      </c>
      <c r="G77" s="2">
        <v>682.81</v>
      </c>
      <c r="H77" s="2">
        <v>193.66633416168742</v>
      </c>
      <c r="I77" s="2">
        <v>489.14366583831253</v>
      </c>
    </row>
    <row r="78" spans="4:9" x14ac:dyDescent="0.2">
      <c r="D78" s="1">
        <v>57405</v>
      </c>
      <c r="E78" s="2">
        <v>88044.037665218799</v>
      </c>
      <c r="F78" s="3">
        <v>2.6249999999999999E-2</v>
      </c>
      <c r="G78" s="2">
        <v>682.81</v>
      </c>
      <c r="H78" s="2">
        <v>192.59633239266611</v>
      </c>
      <c r="I78" s="2">
        <v>490.21366760733383</v>
      </c>
    </row>
    <row r="79" spans="4:9" x14ac:dyDescent="0.2">
      <c r="D79" s="1">
        <v>57436</v>
      </c>
      <c r="E79" s="2">
        <v>87553.823997611471</v>
      </c>
      <c r="F79" s="3">
        <v>2.6249999999999999E-2</v>
      </c>
      <c r="G79" s="2">
        <v>682.81</v>
      </c>
      <c r="H79" s="2">
        <v>191.52398999477506</v>
      </c>
      <c r="I79" s="2">
        <v>491.28601000522485</v>
      </c>
    </row>
    <row r="80" spans="4:9" x14ac:dyDescent="0.2">
      <c r="D80" s="1">
        <v>57466</v>
      </c>
      <c r="E80" s="2">
        <v>87062.537987606251</v>
      </c>
      <c r="F80" s="3">
        <v>2.6249999999999999E-2</v>
      </c>
      <c r="G80" s="2">
        <v>682.81</v>
      </c>
      <c r="H80" s="2">
        <v>190.44930184788865</v>
      </c>
      <c r="I80" s="2">
        <v>492.3606981521113</v>
      </c>
    </row>
    <row r="81" spans="4:9" x14ac:dyDescent="0.2">
      <c r="D81" s="1">
        <v>57497</v>
      </c>
      <c r="E81" s="2">
        <v>86570.177289454135</v>
      </c>
      <c r="F81" s="3">
        <v>2.6249999999999999E-2</v>
      </c>
      <c r="G81" s="2">
        <v>682.81</v>
      </c>
      <c r="H81" s="2">
        <v>189.3722628206809</v>
      </c>
      <c r="I81" s="2">
        <v>493.43773717931902</v>
      </c>
    </row>
    <row r="82" spans="4:9" x14ac:dyDescent="0.2">
      <c r="D82" s="1">
        <v>57527</v>
      </c>
      <c r="E82" s="2">
        <v>86076.739552274812</v>
      </c>
      <c r="F82" s="3">
        <v>2.6249999999999999E-2</v>
      </c>
      <c r="G82" s="2">
        <v>682.81</v>
      </c>
      <c r="H82" s="2">
        <v>188.29286777060113</v>
      </c>
      <c r="I82" s="2">
        <v>494.51713222939884</v>
      </c>
    </row>
    <row r="83" spans="4:9" x14ac:dyDescent="0.2">
      <c r="D83" s="1">
        <v>57558</v>
      </c>
      <c r="E83" s="2">
        <v>85582.222420045407</v>
      </c>
      <c r="F83" s="3">
        <v>2.6249999999999999E-2</v>
      </c>
      <c r="G83" s="2">
        <v>682.81</v>
      </c>
      <c r="H83" s="2">
        <v>187.21111154384931</v>
      </c>
      <c r="I83" s="2">
        <v>495.59888845615063</v>
      </c>
    </row>
    <row r="84" spans="4:9" x14ac:dyDescent="0.2">
      <c r="D84" s="1">
        <v>57589</v>
      </c>
      <c r="E84" s="2">
        <v>85086.623531589255</v>
      </c>
      <c r="F84" s="3">
        <v>2.6249999999999999E-2</v>
      </c>
      <c r="G84" s="2">
        <v>682.81</v>
      </c>
      <c r="H84" s="2">
        <v>186.12698897535148</v>
      </c>
      <c r="I84" s="2">
        <v>496.68301102464847</v>
      </c>
    </row>
    <row r="85" spans="4:9" x14ac:dyDescent="0.2">
      <c r="D85" s="1">
        <v>57619</v>
      </c>
      <c r="E85" s="2">
        <v>84589.940520564604</v>
      </c>
      <c r="F85" s="3">
        <v>2.6249999999999999E-2</v>
      </c>
      <c r="G85" s="2">
        <v>682.81</v>
      </c>
      <c r="H85" s="2">
        <v>185.04049488873505</v>
      </c>
      <c r="I85" s="2">
        <v>497.76950511126489</v>
      </c>
    </row>
    <row r="86" spans="4:9" x14ac:dyDescent="0.2">
      <c r="D86" s="1">
        <v>57650</v>
      </c>
      <c r="E86" s="2">
        <v>84092.171015453336</v>
      </c>
      <c r="F86" s="3">
        <v>2.6249999999999999E-2</v>
      </c>
      <c r="G86" s="2">
        <v>682.81</v>
      </c>
      <c r="H86" s="2">
        <v>183.95162409630416</v>
      </c>
      <c r="I86" s="2">
        <v>498.85837590369579</v>
      </c>
    </row>
    <row r="87" spans="4:9" x14ac:dyDescent="0.2">
      <c r="D87" s="1">
        <v>57680</v>
      </c>
      <c r="E87" s="2">
        <v>83593.312639549637</v>
      </c>
      <c r="F87" s="3">
        <v>2.6249999999999999E-2</v>
      </c>
      <c r="G87" s="2">
        <v>682.81</v>
      </c>
      <c r="H87" s="2">
        <v>182.86037139901481</v>
      </c>
      <c r="I87" s="2">
        <v>499.94962860098514</v>
      </c>
    </row>
    <row r="88" spans="4:9" x14ac:dyDescent="0.2">
      <c r="D88" s="1">
        <v>57711</v>
      </c>
      <c r="E88" s="2">
        <v>83093.363010948655</v>
      </c>
      <c r="F88" s="3">
        <v>2.6249999999999999E-2</v>
      </c>
      <c r="G88" s="2">
        <v>682.81</v>
      </c>
      <c r="H88" s="2">
        <v>181.76673158645016</v>
      </c>
      <c r="I88" s="2">
        <v>501.04326841354975</v>
      </c>
    </row>
    <row r="89" spans="4:9" x14ac:dyDescent="0.2">
      <c r="D89" s="1">
        <v>57742</v>
      </c>
      <c r="E89" s="2">
        <v>82592.31974253511</v>
      </c>
      <c r="F89" s="3">
        <v>2.6249999999999999E-2</v>
      </c>
      <c r="G89" s="2">
        <v>682.81</v>
      </c>
      <c r="H89" s="2">
        <v>180.67069943679553</v>
      </c>
      <c r="I89" s="2">
        <v>502.13930056320442</v>
      </c>
    </row>
    <row r="90" spans="4:9" x14ac:dyDescent="0.2">
      <c r="D90" s="1">
        <v>57770</v>
      </c>
      <c r="E90" s="2">
        <v>82090.180441971912</v>
      </c>
      <c r="F90" s="3">
        <v>2.6249999999999999E-2</v>
      </c>
      <c r="G90" s="2">
        <v>682.81</v>
      </c>
      <c r="H90" s="2">
        <v>179.57226971681354</v>
      </c>
      <c r="I90" s="2">
        <v>503.23773028318641</v>
      </c>
    </row>
    <row r="91" spans="4:9" x14ac:dyDescent="0.2">
      <c r="D91" s="1">
        <v>57801</v>
      </c>
      <c r="E91" s="2">
        <v>81586.942711688724</v>
      </c>
      <c r="F91" s="3">
        <v>2.6249999999999999E-2</v>
      </c>
      <c r="G91" s="2">
        <v>682.81</v>
      </c>
      <c r="H91" s="2">
        <v>178.47143718181906</v>
      </c>
      <c r="I91" s="2">
        <v>504.33856281818089</v>
      </c>
    </row>
    <row r="92" spans="4:9" x14ac:dyDescent="0.2">
      <c r="D92" s="1">
        <v>57831</v>
      </c>
      <c r="E92" s="2">
        <v>81082.604148870538</v>
      </c>
      <c r="F92" s="3">
        <v>2.6249999999999999E-2</v>
      </c>
      <c r="G92" s="2">
        <v>682.81</v>
      </c>
      <c r="H92" s="2">
        <v>177.36819657565428</v>
      </c>
      <c r="I92" s="2">
        <v>505.44180342434566</v>
      </c>
    </row>
    <row r="93" spans="4:9" x14ac:dyDescent="0.2">
      <c r="D93" s="1">
        <v>57862</v>
      </c>
      <c r="E93" s="2">
        <v>80577.162345446195</v>
      </c>
      <c r="F93" s="3">
        <v>2.6249999999999999E-2</v>
      </c>
      <c r="G93" s="2">
        <v>682.81</v>
      </c>
      <c r="H93" s="2">
        <v>176.26254263066355</v>
      </c>
      <c r="I93" s="2">
        <v>506.54745736933637</v>
      </c>
    </row>
    <row r="94" spans="4:9" x14ac:dyDescent="0.2">
      <c r="D94" s="1">
        <v>57892</v>
      </c>
      <c r="E94" s="2">
        <v>80070.61488807686</v>
      </c>
      <c r="F94" s="3">
        <v>2.6249999999999999E-2</v>
      </c>
      <c r="G94" s="2">
        <v>682.81</v>
      </c>
      <c r="H94" s="2">
        <v>175.15447006766811</v>
      </c>
      <c r="I94" s="2">
        <v>507.65552993233183</v>
      </c>
    </row>
    <row r="95" spans="4:9" x14ac:dyDescent="0.2">
      <c r="D95" s="1">
        <v>57923</v>
      </c>
      <c r="E95" s="2">
        <v>79562.959358144522</v>
      </c>
      <c r="F95" s="3">
        <v>2.6249999999999999E-2</v>
      </c>
      <c r="G95" s="2">
        <v>682.81</v>
      </c>
      <c r="H95" s="2">
        <v>174.04397359594111</v>
      </c>
      <c r="I95" s="2">
        <v>508.76602640405883</v>
      </c>
    </row>
    <row r="96" spans="4:9" x14ac:dyDescent="0.2">
      <c r="D96" s="1">
        <v>57954</v>
      </c>
      <c r="E96" s="2">
        <v>79054.193331740462</v>
      </c>
      <c r="F96" s="3">
        <v>2.6249999999999999E-2</v>
      </c>
      <c r="G96" s="2">
        <v>682.81</v>
      </c>
      <c r="H96" s="2">
        <v>172.93104791318225</v>
      </c>
      <c r="I96" s="2">
        <v>509.87895208681766</v>
      </c>
    </row>
    <row r="97" spans="4:9" x14ac:dyDescent="0.2">
      <c r="D97" s="1">
        <v>57984</v>
      </c>
      <c r="E97" s="2">
        <v>78544.314379653646</v>
      </c>
      <c r="F97" s="3">
        <v>2.6249999999999999E-2</v>
      </c>
      <c r="G97" s="2">
        <v>682.81</v>
      </c>
      <c r="H97" s="2">
        <v>171.81568770549234</v>
      </c>
      <c r="I97" s="2">
        <v>510.99431229450761</v>
      </c>
    </row>
    <row r="98" spans="4:9" x14ac:dyDescent="0.2">
      <c r="D98" s="1">
        <v>58015</v>
      </c>
      <c r="E98" s="2">
        <v>78033.320067359135</v>
      </c>
      <c r="F98" s="3">
        <v>2.6249999999999999E-2</v>
      </c>
      <c r="G98" s="2">
        <v>682.81</v>
      </c>
      <c r="H98" s="2">
        <v>170.6978876473481</v>
      </c>
      <c r="I98" s="2">
        <v>512.11211235265182</v>
      </c>
    </row>
    <row r="99" spans="4:9" x14ac:dyDescent="0.2">
      <c r="D99" s="1">
        <v>58045</v>
      </c>
      <c r="E99" s="2">
        <v>77521.207955006481</v>
      </c>
      <c r="F99" s="3">
        <v>2.6249999999999999E-2</v>
      </c>
      <c r="G99" s="2">
        <v>682.81</v>
      </c>
      <c r="H99" s="2">
        <v>169.57764240157667</v>
      </c>
      <c r="I99" s="2">
        <v>513.23235759842328</v>
      </c>
    </row>
    <row r="100" spans="4:9" x14ac:dyDescent="0.2">
      <c r="D100" s="1">
        <v>58076</v>
      </c>
      <c r="E100" s="2">
        <v>77007.975597408062</v>
      </c>
      <c r="F100" s="3">
        <v>2.6249999999999999E-2</v>
      </c>
      <c r="G100" s="2">
        <v>682.81</v>
      </c>
      <c r="H100" s="2">
        <v>168.45494661933012</v>
      </c>
      <c r="I100" s="2">
        <v>514.3550533806698</v>
      </c>
    </row>
    <row r="101" spans="4:9" x14ac:dyDescent="0.2">
      <c r="D101" s="1">
        <v>58107</v>
      </c>
      <c r="E101" s="2">
        <v>76493.620544027392</v>
      </c>
      <c r="F101" s="3">
        <v>2.6249999999999999E-2</v>
      </c>
      <c r="G101" s="2">
        <v>682.81</v>
      </c>
      <c r="H101" s="2">
        <v>167.32979494005991</v>
      </c>
      <c r="I101" s="2">
        <v>515.48020505994009</v>
      </c>
    </row>
    <row r="102" spans="4:9" x14ac:dyDescent="0.2">
      <c r="D102" s="1">
        <v>58135</v>
      </c>
      <c r="E102" s="2">
        <v>75978.140338967452</v>
      </c>
      <c r="F102" s="3">
        <v>2.6249999999999999E-2</v>
      </c>
      <c r="G102" s="2">
        <v>682.81</v>
      </c>
      <c r="H102" s="2">
        <v>166.20218199149127</v>
      </c>
      <c r="I102" s="2">
        <v>516.60781800850873</v>
      </c>
    </row>
    <row r="103" spans="4:9" x14ac:dyDescent="0.2">
      <c r="D103" s="1">
        <v>58166</v>
      </c>
      <c r="E103" s="2">
        <v>75461.53252095895</v>
      </c>
      <c r="F103" s="3">
        <v>2.6249999999999999E-2</v>
      </c>
      <c r="G103" s="2">
        <v>682.81</v>
      </c>
      <c r="H103" s="2">
        <v>165.07210238959769</v>
      </c>
      <c r="I103" s="2">
        <v>517.73789761040223</v>
      </c>
    </row>
    <row r="104" spans="4:9" x14ac:dyDescent="0.2">
      <c r="D104" s="1">
        <v>58196</v>
      </c>
      <c r="E104" s="2">
        <v>74943.794623348542</v>
      </c>
      <c r="F104" s="3">
        <v>2.6249999999999999E-2</v>
      </c>
      <c r="G104" s="2">
        <v>682.81</v>
      </c>
      <c r="H104" s="2">
        <v>163.93955073857492</v>
      </c>
      <c r="I104" s="2">
        <v>518.87044926142505</v>
      </c>
    </row>
    <row r="105" spans="4:9" x14ac:dyDescent="0.2">
      <c r="D105" s="1">
        <v>58227</v>
      </c>
      <c r="E105" s="2">
        <v>74424.924174087122</v>
      </c>
      <c r="F105" s="3">
        <v>2.6249999999999999E-2</v>
      </c>
      <c r="G105" s="2">
        <v>682.81</v>
      </c>
      <c r="H105" s="2">
        <v>162.80452163081557</v>
      </c>
      <c r="I105" s="2">
        <v>520.0054783691844</v>
      </c>
    </row>
    <row r="106" spans="4:9" x14ac:dyDescent="0.2">
      <c r="D106" s="1">
        <v>58257</v>
      </c>
      <c r="E106" s="2">
        <v>73904.918695717934</v>
      </c>
      <c r="F106" s="3">
        <v>2.6249999999999999E-2</v>
      </c>
      <c r="G106" s="2">
        <v>682.81</v>
      </c>
      <c r="H106" s="2">
        <v>161.66700964688297</v>
      </c>
      <c r="I106" s="2">
        <v>521.14299035311694</v>
      </c>
    </row>
    <row r="107" spans="4:9" x14ac:dyDescent="0.2">
      <c r="D107" s="1">
        <v>58288</v>
      </c>
      <c r="E107" s="2">
        <v>73383.775705364824</v>
      </c>
      <c r="F107" s="3">
        <v>2.6249999999999999E-2</v>
      </c>
      <c r="G107" s="2">
        <v>682.81</v>
      </c>
      <c r="H107" s="2">
        <v>160.52700935548555</v>
      </c>
      <c r="I107" s="2">
        <v>522.28299064451437</v>
      </c>
    </row>
    <row r="108" spans="4:9" x14ac:dyDescent="0.2">
      <c r="D108" s="1">
        <v>58319</v>
      </c>
      <c r="E108" s="2">
        <v>72861.492714720313</v>
      </c>
      <c r="F108" s="3">
        <v>2.6249999999999999E-2</v>
      </c>
      <c r="G108" s="2">
        <v>682.81</v>
      </c>
      <c r="H108" s="2">
        <v>159.38451531345066</v>
      </c>
      <c r="I108" s="2">
        <v>523.42548468654923</v>
      </c>
    </row>
    <row r="109" spans="4:9" x14ac:dyDescent="0.2">
      <c r="D109" s="1">
        <v>58349</v>
      </c>
      <c r="E109" s="2">
        <v>72338.067230033761</v>
      </c>
      <c r="F109" s="3">
        <v>2.6249999999999999E-2</v>
      </c>
      <c r="G109" s="2">
        <v>682.81</v>
      </c>
      <c r="H109" s="2">
        <v>158.23952206569885</v>
      </c>
      <c r="I109" s="2">
        <v>524.57047793430115</v>
      </c>
    </row>
    <row r="110" spans="4:9" x14ac:dyDescent="0.2">
      <c r="D110" s="1">
        <v>58380</v>
      </c>
      <c r="E110" s="2">
        <v>71813.496752099454</v>
      </c>
      <c r="F110" s="3">
        <v>2.6249999999999999E-2</v>
      </c>
      <c r="G110" s="2">
        <v>682.81</v>
      </c>
      <c r="H110" s="2">
        <v>157.09202414521755</v>
      </c>
      <c r="I110" s="2">
        <v>525.71797585478237</v>
      </c>
    </row>
    <row r="111" spans="4:9" x14ac:dyDescent="0.2">
      <c r="D111" s="1">
        <v>58410</v>
      </c>
      <c r="E111" s="2">
        <v>71287.778776244668</v>
      </c>
      <c r="F111" s="3">
        <v>2.6249999999999999E-2</v>
      </c>
      <c r="G111" s="2">
        <v>682.81</v>
      </c>
      <c r="H111" s="2">
        <v>155.94201607303521</v>
      </c>
      <c r="I111" s="2">
        <v>526.86798392696471</v>
      </c>
    </row>
    <row r="112" spans="4:9" x14ac:dyDescent="0.2">
      <c r="D112" s="1">
        <v>58441</v>
      </c>
      <c r="E112" s="2">
        <v>70760.910792317707</v>
      </c>
      <c r="F112" s="3">
        <v>2.6249999999999999E-2</v>
      </c>
      <c r="G112" s="2">
        <v>682.81</v>
      </c>
      <c r="H112" s="2">
        <v>154.78949235819496</v>
      </c>
      <c r="I112" s="2">
        <v>528.02050764180501</v>
      </c>
    </row>
    <row r="113" spans="4:9" x14ac:dyDescent="0.2">
      <c r="D113" s="1">
        <v>58472</v>
      </c>
      <c r="E113" s="2">
        <v>70232.890284675901</v>
      </c>
      <c r="F113" s="3">
        <v>2.6249999999999999E-2</v>
      </c>
      <c r="G113" s="2">
        <v>682.81</v>
      </c>
      <c r="H113" s="2">
        <v>153.63444749772853</v>
      </c>
      <c r="I113" s="2">
        <v>529.17555250227144</v>
      </c>
    </row>
    <row r="114" spans="4:9" x14ac:dyDescent="0.2">
      <c r="D114" s="1">
        <v>58501</v>
      </c>
      <c r="E114" s="2">
        <v>69703.714732173627</v>
      </c>
      <c r="F114" s="3">
        <v>2.6249999999999999E-2</v>
      </c>
      <c r="G114" s="2">
        <v>682.81</v>
      </c>
      <c r="H114" s="2">
        <v>152.4768759766298</v>
      </c>
      <c r="I114" s="2">
        <v>530.33312402337015</v>
      </c>
    </row>
    <row r="115" spans="4:9" x14ac:dyDescent="0.2">
      <c r="D115" s="1">
        <v>58532</v>
      </c>
      <c r="E115" s="2">
        <v>69173.381608150259</v>
      </c>
      <c r="F115" s="3">
        <v>2.6249999999999999E-2</v>
      </c>
      <c r="G115" s="2">
        <v>682.81</v>
      </c>
      <c r="H115" s="2">
        <v>151.31677226782867</v>
      </c>
      <c r="I115" s="2">
        <v>531.49322773217125</v>
      </c>
    </row>
    <row r="116" spans="4:9" x14ac:dyDescent="0.2">
      <c r="D116" s="1">
        <v>58562</v>
      </c>
      <c r="E116" s="2">
        <v>68641.888380418095</v>
      </c>
      <c r="F116" s="3">
        <v>2.6249999999999999E-2</v>
      </c>
      <c r="G116" s="2">
        <v>682.81</v>
      </c>
      <c r="H116" s="2">
        <v>150.15413083216455</v>
      </c>
      <c r="I116" s="2">
        <v>532.65586916783536</v>
      </c>
    </row>
    <row r="117" spans="4:9" x14ac:dyDescent="0.2">
      <c r="D117" s="1">
        <v>58593</v>
      </c>
      <c r="E117" s="2">
        <v>68109.232511250259</v>
      </c>
      <c r="F117" s="3">
        <v>2.6249999999999999E-2</v>
      </c>
      <c r="G117" s="2">
        <v>682.81</v>
      </c>
      <c r="H117" s="2">
        <v>148.98894611835993</v>
      </c>
      <c r="I117" s="2">
        <v>533.82105388163995</v>
      </c>
    </row>
    <row r="118" spans="4:9" x14ac:dyDescent="0.2">
      <c r="D118" s="1">
        <v>58623</v>
      </c>
      <c r="E118" s="2">
        <v>67575.411457368624</v>
      </c>
      <c r="F118" s="3">
        <v>2.6249999999999999E-2</v>
      </c>
      <c r="G118" s="2">
        <v>682.81</v>
      </c>
      <c r="H118" s="2">
        <v>147.82121256299385</v>
      </c>
      <c r="I118" s="2">
        <v>534.98878743700607</v>
      </c>
    </row>
    <row r="119" spans="4:9" x14ac:dyDescent="0.2">
      <c r="D119" s="1">
        <v>58654</v>
      </c>
      <c r="E119" s="2">
        <v>67040.42266993162</v>
      </c>
      <c r="F119" s="3">
        <v>2.6249999999999999E-2</v>
      </c>
      <c r="G119" s="2">
        <v>682.81</v>
      </c>
      <c r="H119" s="2">
        <v>146.6509245904754</v>
      </c>
      <c r="I119" s="2">
        <v>536.15907540952458</v>
      </c>
    </row>
    <row r="120" spans="4:9" x14ac:dyDescent="0.2">
      <c r="D120" s="1">
        <v>58685</v>
      </c>
      <c r="E120" s="2">
        <v>66504.263594522097</v>
      </c>
      <c r="F120" s="3">
        <v>2.6249999999999999E-2</v>
      </c>
      <c r="G120" s="2">
        <v>682.81</v>
      </c>
      <c r="H120" s="2">
        <v>145.47807661301707</v>
      </c>
      <c r="I120" s="2">
        <v>537.33192338698291</v>
      </c>
    </row>
    <row r="121" spans="4:9" x14ac:dyDescent="0.2">
      <c r="D121" s="1">
        <v>58715</v>
      </c>
      <c r="E121" s="2">
        <v>65966.931671135113</v>
      </c>
      <c r="F121" s="3">
        <v>2.6249999999999999E-2</v>
      </c>
      <c r="G121" s="2">
        <v>682.81</v>
      </c>
      <c r="H121" s="2">
        <v>144.30266303060804</v>
      </c>
      <c r="I121" s="2">
        <v>538.50733696939187</v>
      </c>
    </row>
    <row r="122" spans="4:9" x14ac:dyDescent="0.2">
      <c r="D122" s="1">
        <v>58746</v>
      </c>
      <c r="E122" s="2">
        <v>65428.42433416572</v>
      </c>
      <c r="F122" s="3">
        <v>2.6249999999999999E-2</v>
      </c>
      <c r="G122" s="2">
        <v>682.81</v>
      </c>
      <c r="H122" s="2">
        <v>143.12467823098748</v>
      </c>
      <c r="I122" s="2">
        <v>539.68532176901249</v>
      </c>
    </row>
    <row r="123" spans="4:9" x14ac:dyDescent="0.2">
      <c r="D123" s="1">
        <v>58776</v>
      </c>
      <c r="E123" s="2">
        <v>64888.739012396705</v>
      </c>
      <c r="F123" s="3">
        <v>2.6249999999999999E-2</v>
      </c>
      <c r="G123" s="2">
        <v>682.81</v>
      </c>
      <c r="H123" s="2">
        <v>141.94411658961778</v>
      </c>
      <c r="I123" s="2">
        <v>540.86588341038214</v>
      </c>
    </row>
    <row r="124" spans="4:9" x14ac:dyDescent="0.2">
      <c r="D124" s="1">
        <v>58807</v>
      </c>
      <c r="E124" s="2">
        <v>64347.873128986321</v>
      </c>
      <c r="F124" s="3">
        <v>2.6249999999999999E-2</v>
      </c>
      <c r="G124" s="2">
        <v>682.81</v>
      </c>
      <c r="H124" s="2">
        <v>140.76097246965756</v>
      </c>
      <c r="I124" s="2">
        <v>542.04902753034241</v>
      </c>
    </row>
    <row r="125" spans="4:9" x14ac:dyDescent="0.2">
      <c r="D125" s="1">
        <v>58838</v>
      </c>
      <c r="E125" s="2">
        <v>63805.824101455975</v>
      </c>
      <c r="F125" s="3">
        <v>2.6249999999999999E-2</v>
      </c>
      <c r="G125" s="2">
        <v>682.81</v>
      </c>
      <c r="H125" s="2">
        <v>139.57524022193493</v>
      </c>
      <c r="I125" s="2">
        <v>543.23475977806504</v>
      </c>
    </row>
    <row r="126" spans="4:9" x14ac:dyDescent="0.2">
      <c r="D126" s="1">
        <v>58866</v>
      </c>
      <c r="E126" s="2">
        <v>63262.589341677907</v>
      </c>
      <c r="F126" s="3">
        <v>2.6249999999999999E-2</v>
      </c>
      <c r="G126" s="2">
        <v>682.81</v>
      </c>
      <c r="H126" s="2">
        <v>138.38691418492041</v>
      </c>
      <c r="I126" s="2">
        <v>544.4230858150795</v>
      </c>
    </row>
    <row r="127" spans="4:9" x14ac:dyDescent="0.2">
      <c r="D127" s="1">
        <v>58897</v>
      </c>
      <c r="E127" s="2">
        <v>62718.16625586283</v>
      </c>
      <c r="F127" s="3">
        <v>2.6249999999999999E-2</v>
      </c>
      <c r="G127" s="2">
        <v>682.81</v>
      </c>
      <c r="H127" s="2">
        <v>137.19598868469993</v>
      </c>
      <c r="I127" s="2">
        <v>545.61401131529999</v>
      </c>
    </row>
    <row r="128" spans="4:9" x14ac:dyDescent="0.2">
      <c r="D128" s="1">
        <v>58927</v>
      </c>
      <c r="E128" s="2">
        <v>62172.552244547529</v>
      </c>
      <c r="F128" s="3">
        <v>2.6249999999999999E-2</v>
      </c>
      <c r="G128" s="2">
        <v>682.81</v>
      </c>
      <c r="H128" s="2">
        <v>136.00245803494769</v>
      </c>
      <c r="I128" s="2">
        <v>546.80754196505222</v>
      </c>
    </row>
    <row r="129" spans="4:9" x14ac:dyDescent="0.2">
      <c r="D129" s="1">
        <v>58958</v>
      </c>
      <c r="E129" s="2">
        <v>61625.74470258248</v>
      </c>
      <c r="F129" s="3">
        <v>2.6249999999999999E-2</v>
      </c>
      <c r="G129" s="2">
        <v>682.81</v>
      </c>
      <c r="H129" s="2">
        <v>134.80631653689917</v>
      </c>
      <c r="I129" s="2">
        <v>548.00368346310074</v>
      </c>
    </row>
    <row r="130" spans="4:9" x14ac:dyDescent="0.2">
      <c r="D130" s="1">
        <v>58988</v>
      </c>
      <c r="E130" s="2">
        <v>61077.741019119378</v>
      </c>
      <c r="F130" s="3">
        <v>2.6249999999999999E-2</v>
      </c>
      <c r="G130" s="2">
        <v>682.81</v>
      </c>
      <c r="H130" s="2">
        <v>133.60755847932361</v>
      </c>
      <c r="I130" s="2">
        <v>549.2024415206763</v>
      </c>
    </row>
    <row r="131" spans="4:9" x14ac:dyDescent="0.2">
      <c r="D131" s="1">
        <v>59019</v>
      </c>
      <c r="E131" s="2">
        <v>60528.538577598702</v>
      </c>
      <c r="F131" s="3">
        <v>2.6249999999999999E-2</v>
      </c>
      <c r="G131" s="2">
        <v>682.81</v>
      </c>
      <c r="H131" s="2">
        <v>132.40617813849715</v>
      </c>
      <c r="I131" s="2">
        <v>550.40382186150282</v>
      </c>
    </row>
    <row r="132" spans="4:9" x14ac:dyDescent="0.2">
      <c r="D132" s="1">
        <v>59050</v>
      </c>
      <c r="E132" s="2">
        <v>59978.134755737199</v>
      </c>
      <c r="F132" s="3">
        <v>2.6249999999999999E-2</v>
      </c>
      <c r="G132" s="2">
        <v>682.81</v>
      </c>
      <c r="H132" s="2">
        <v>131.20216977817512</v>
      </c>
      <c r="I132" s="2">
        <v>551.60783022182477</v>
      </c>
    </row>
    <row r="133" spans="4:9" x14ac:dyDescent="0.2">
      <c r="D133" s="1">
        <v>59080</v>
      </c>
      <c r="E133" s="2">
        <v>59426.526925515376</v>
      </c>
      <c r="F133" s="3">
        <v>2.6249999999999999E-2</v>
      </c>
      <c r="G133" s="2">
        <v>682.81</v>
      </c>
      <c r="H133" s="2">
        <v>129.99552764956488</v>
      </c>
      <c r="I133" s="2">
        <v>552.81447235043504</v>
      </c>
    </row>
    <row r="134" spans="4:9" x14ac:dyDescent="0.2">
      <c r="D134" s="1">
        <v>59111</v>
      </c>
      <c r="E134" s="2">
        <v>58873.712453164939</v>
      </c>
      <c r="F134" s="3">
        <v>2.6249999999999999E-2</v>
      </c>
      <c r="G134" s="2">
        <v>682.81</v>
      </c>
      <c r="H134" s="2">
        <v>128.7862459912983</v>
      </c>
      <c r="I134" s="2">
        <v>554.02375400870164</v>
      </c>
    </row>
    <row r="135" spans="4:9" x14ac:dyDescent="0.2">
      <c r="D135" s="1">
        <v>59141</v>
      </c>
      <c r="E135" s="2">
        <v>58319.688699156235</v>
      </c>
      <c r="F135" s="3">
        <v>2.6249999999999999E-2</v>
      </c>
      <c r="G135" s="2">
        <v>682.81</v>
      </c>
      <c r="H135" s="2">
        <v>127.57431902940425</v>
      </c>
      <c r="I135" s="2">
        <v>555.23568097059569</v>
      </c>
    </row>
    <row r="136" spans="4:9" x14ac:dyDescent="0.2">
      <c r="D136" s="1">
        <v>59172</v>
      </c>
      <c r="E136" s="2">
        <v>57764.453018185639</v>
      </c>
      <c r="F136" s="3">
        <v>2.6249999999999999E-2</v>
      </c>
      <c r="G136" s="2">
        <v>682.81</v>
      </c>
      <c r="H136" s="2">
        <v>126.35974097728108</v>
      </c>
      <c r="I136" s="2">
        <v>556.45025902271891</v>
      </c>
    </row>
    <row r="137" spans="4:9" x14ac:dyDescent="0.2">
      <c r="D137" s="1">
        <v>59203</v>
      </c>
      <c r="E137" s="2">
        <v>57208.002759162919</v>
      </c>
      <c r="F137" s="3">
        <v>2.6249999999999999E-2</v>
      </c>
      <c r="G137" s="2">
        <v>682.81</v>
      </c>
      <c r="H137" s="2">
        <v>125.14250603566887</v>
      </c>
      <c r="I137" s="2">
        <v>557.66749396433102</v>
      </c>
    </row>
    <row r="138" spans="4:9" x14ac:dyDescent="0.2">
      <c r="D138" s="1">
        <v>59231</v>
      </c>
      <c r="E138" s="2">
        <v>56650.335265198584</v>
      </c>
      <c r="F138" s="3">
        <v>2.6249999999999999E-2</v>
      </c>
      <c r="G138" s="2">
        <v>682.81</v>
      </c>
      <c r="H138" s="2">
        <v>123.9226083926219</v>
      </c>
      <c r="I138" s="2">
        <v>558.88739160737805</v>
      </c>
    </row>
    <row r="139" spans="4:9" x14ac:dyDescent="0.2">
      <c r="D139" s="1">
        <v>59262</v>
      </c>
      <c r="E139" s="2">
        <v>56091.447873591205</v>
      </c>
      <c r="F139" s="3">
        <v>2.6249999999999999E-2</v>
      </c>
      <c r="G139" s="2">
        <v>682.81</v>
      </c>
      <c r="H139" s="2">
        <v>122.70004222348075</v>
      </c>
      <c r="I139" s="2">
        <v>560.1099577765192</v>
      </c>
    </row>
    <row r="140" spans="4:9" x14ac:dyDescent="0.2">
      <c r="D140" s="1">
        <v>59292</v>
      </c>
      <c r="E140" s="2">
        <v>55531.337915814685</v>
      </c>
      <c r="F140" s="3">
        <v>2.6249999999999999E-2</v>
      </c>
      <c r="G140" s="2">
        <v>682.81</v>
      </c>
      <c r="H140" s="2">
        <v>121.47480169084461</v>
      </c>
      <c r="I140" s="2">
        <v>561.33519830915532</v>
      </c>
    </row>
    <row r="141" spans="4:9" x14ac:dyDescent="0.2">
      <c r="D141" s="1">
        <v>59323</v>
      </c>
      <c r="E141" s="2">
        <v>54970.002717505529</v>
      </c>
      <c r="F141" s="3">
        <v>2.6249999999999999E-2</v>
      </c>
      <c r="G141" s="2">
        <v>682.81</v>
      </c>
      <c r="H141" s="2">
        <v>120.24688094454334</v>
      </c>
      <c r="I141" s="2">
        <v>562.56311905545658</v>
      </c>
    </row>
    <row r="142" spans="4:9" x14ac:dyDescent="0.2">
      <c r="D142" s="1">
        <v>59353</v>
      </c>
      <c r="E142" s="2">
        <v>54407.439598450073</v>
      </c>
      <c r="F142" s="3">
        <v>2.6249999999999999E-2</v>
      </c>
      <c r="G142" s="2">
        <v>682.81</v>
      </c>
      <c r="H142" s="2">
        <v>119.01627412160953</v>
      </c>
      <c r="I142" s="2">
        <v>563.79372587839043</v>
      </c>
    </row>
    <row r="143" spans="4:9" x14ac:dyDescent="0.2">
      <c r="D143" s="1">
        <v>59384</v>
      </c>
      <c r="E143" s="2">
        <v>53843.64587257168</v>
      </c>
      <c r="F143" s="3">
        <v>2.6249999999999999E-2</v>
      </c>
      <c r="G143" s="2">
        <v>682.81</v>
      </c>
      <c r="H143" s="2">
        <v>117.78297534625054</v>
      </c>
      <c r="I143" s="2">
        <v>565.02702465374944</v>
      </c>
    </row>
    <row r="144" spans="4:9" x14ac:dyDescent="0.2">
      <c r="D144" s="1">
        <v>59415</v>
      </c>
      <c r="E144" s="2">
        <v>53278.618847917933</v>
      </c>
      <c r="F144" s="3">
        <v>2.6249999999999999E-2</v>
      </c>
      <c r="G144" s="2">
        <v>682.81</v>
      </c>
      <c r="H144" s="2">
        <v>116.54697872982047</v>
      </c>
      <c r="I144" s="2">
        <v>566.26302127017948</v>
      </c>
    </row>
    <row r="145" spans="4:9" x14ac:dyDescent="0.2">
      <c r="D145" s="1">
        <v>59445</v>
      </c>
      <c r="E145" s="2">
        <v>52712.355826647756</v>
      </c>
      <c r="F145" s="3">
        <v>2.6249999999999999E-2</v>
      </c>
      <c r="G145" s="2">
        <v>682.81</v>
      </c>
      <c r="H145" s="2">
        <v>115.30827837079195</v>
      </c>
      <c r="I145" s="2">
        <v>567.50172162920796</v>
      </c>
    </row>
    <row r="146" spans="4:9" x14ac:dyDescent="0.2">
      <c r="D146" s="1">
        <v>59476</v>
      </c>
      <c r="E146" s="2">
        <v>52144.854105018545</v>
      </c>
      <c r="F146" s="3">
        <v>2.6249999999999999E-2</v>
      </c>
      <c r="G146" s="2">
        <v>682.81</v>
      </c>
      <c r="H146" s="2">
        <v>114.06686835472806</v>
      </c>
      <c r="I146" s="2">
        <v>568.74313164527189</v>
      </c>
    </row>
    <row r="147" spans="4:9" x14ac:dyDescent="0.2">
      <c r="D147" s="1">
        <v>59506</v>
      </c>
      <c r="E147" s="2">
        <v>51576.110973373274</v>
      </c>
      <c r="F147" s="3">
        <v>2.6249999999999999E-2</v>
      </c>
      <c r="G147" s="2">
        <v>682.81</v>
      </c>
      <c r="H147" s="2">
        <v>112.82274275425402</v>
      </c>
      <c r="I147" s="2">
        <v>569.98725724574592</v>
      </c>
    </row>
    <row r="148" spans="4:9" x14ac:dyDescent="0.2">
      <c r="D148" s="1">
        <v>59537</v>
      </c>
      <c r="E148" s="2">
        <v>51006.123716127528</v>
      </c>
      <c r="F148" s="3">
        <v>2.6249999999999999E-2</v>
      </c>
      <c r="G148" s="2">
        <v>682.81</v>
      </c>
      <c r="H148" s="2">
        <v>111.57589562902895</v>
      </c>
      <c r="I148" s="2">
        <v>571.23410437097095</v>
      </c>
    </row>
    <row r="149" spans="4:9" x14ac:dyDescent="0.2">
      <c r="D149" s="1">
        <v>59568</v>
      </c>
      <c r="E149" s="2">
        <v>50434.88961175656</v>
      </c>
      <c r="F149" s="3">
        <v>2.6249999999999999E-2</v>
      </c>
      <c r="G149" s="2">
        <v>682.81</v>
      </c>
      <c r="H149" s="2">
        <v>110.32632102571746</v>
      </c>
      <c r="I149" s="2">
        <v>572.4836789742825</v>
      </c>
    </row>
    <row r="150" spans="4:9" x14ac:dyDescent="0.2">
      <c r="D150" s="1">
        <v>59596</v>
      </c>
      <c r="E150" s="2">
        <v>49862.405932782276</v>
      </c>
      <c r="F150" s="3">
        <v>2.6249999999999999E-2</v>
      </c>
      <c r="G150" s="2">
        <v>682.81</v>
      </c>
      <c r="H150" s="2">
        <v>109.07401297796122</v>
      </c>
      <c r="I150" s="2">
        <v>573.73598702203867</v>
      </c>
    </row>
    <row r="151" spans="4:9" x14ac:dyDescent="0.2">
      <c r="D151" s="1">
        <v>59627</v>
      </c>
      <c r="E151" s="2">
        <v>49288.669945760237</v>
      </c>
      <c r="F151" s="3">
        <v>2.6249999999999999E-2</v>
      </c>
      <c r="G151" s="2">
        <v>682.81</v>
      </c>
      <c r="H151" s="2">
        <v>107.81896550635051</v>
      </c>
      <c r="I151" s="2">
        <v>574.99103449364941</v>
      </c>
    </row>
    <row r="152" spans="4:9" x14ac:dyDescent="0.2">
      <c r="D152" s="1">
        <v>59657</v>
      </c>
      <c r="E152" s="2">
        <v>48713.678911266587</v>
      </c>
      <c r="F152" s="3">
        <v>2.6249999999999999E-2</v>
      </c>
      <c r="G152" s="2">
        <v>682.81</v>
      </c>
      <c r="H152" s="2">
        <v>106.56117261839564</v>
      </c>
      <c r="I152" s="2">
        <v>576.24882738160431</v>
      </c>
    </row>
    <row r="153" spans="4:9" x14ac:dyDescent="0.2">
      <c r="D153" s="1">
        <v>59688</v>
      </c>
      <c r="E153" s="2">
        <v>48137.430083884981</v>
      </c>
      <c r="F153" s="3">
        <v>2.6249999999999999E-2</v>
      </c>
      <c r="G153" s="2">
        <v>682.81</v>
      </c>
      <c r="H153" s="2">
        <v>105.30062830849839</v>
      </c>
      <c r="I153" s="2">
        <v>577.50937169150154</v>
      </c>
    </row>
    <row r="154" spans="4:9" x14ac:dyDescent="0.2">
      <c r="D154" s="1">
        <v>59718</v>
      </c>
      <c r="E154" s="2">
        <v>47559.920712193481</v>
      </c>
      <c r="F154" s="3">
        <v>2.6249999999999999E-2</v>
      </c>
      <c r="G154" s="2">
        <v>682.81</v>
      </c>
      <c r="H154" s="2">
        <v>104.03732655792324</v>
      </c>
      <c r="I154" s="2">
        <v>578.77267344207667</v>
      </c>
    </row>
    <row r="155" spans="4:9" x14ac:dyDescent="0.2">
      <c r="D155" s="1">
        <v>59749</v>
      </c>
      <c r="E155" s="2">
        <v>46981.148038751402</v>
      </c>
      <c r="F155" s="3">
        <v>2.6249999999999999E-2</v>
      </c>
      <c r="G155" s="2">
        <v>682.81</v>
      </c>
      <c r="H155" s="2">
        <v>102.77126133476868</v>
      </c>
      <c r="I155" s="2">
        <v>580.03873866523122</v>
      </c>
    </row>
    <row r="156" spans="4:9" x14ac:dyDescent="0.2">
      <c r="D156" s="1">
        <v>59780</v>
      </c>
      <c r="E156" s="2">
        <v>46401.109300086173</v>
      </c>
      <c r="F156" s="3">
        <v>2.6249999999999999E-2</v>
      </c>
      <c r="G156" s="2">
        <v>682.81</v>
      </c>
      <c r="H156" s="2">
        <v>101.50242659393849</v>
      </c>
      <c r="I156" s="2">
        <v>581.30757340606146</v>
      </c>
    </row>
    <row r="157" spans="4:9" x14ac:dyDescent="0.2">
      <c r="D157" s="1">
        <v>59810</v>
      </c>
      <c r="E157" s="2">
        <v>45819.801726680111</v>
      </c>
      <c r="F157" s="3">
        <v>2.6249999999999999E-2</v>
      </c>
      <c r="G157" s="2">
        <v>682.81</v>
      </c>
      <c r="H157" s="2">
        <v>100.23081627711274</v>
      </c>
      <c r="I157" s="2">
        <v>582.57918372288725</v>
      </c>
    </row>
    <row r="158" spans="4:9" x14ac:dyDescent="0.2">
      <c r="D158" s="1">
        <v>59841</v>
      </c>
      <c r="E158" s="2">
        <v>45237.222542957221</v>
      </c>
      <c r="F158" s="3">
        <v>2.6249999999999999E-2</v>
      </c>
      <c r="G158" s="2">
        <v>682.81</v>
      </c>
      <c r="H158" s="2">
        <v>98.956424312718909</v>
      </c>
      <c r="I158" s="2">
        <v>583.85357568728102</v>
      </c>
    </row>
    <row r="159" spans="4:9" x14ac:dyDescent="0.2">
      <c r="D159" s="1">
        <v>59871</v>
      </c>
      <c r="E159" s="2">
        <v>44653.36896726994</v>
      </c>
      <c r="F159" s="3">
        <v>2.6249999999999999E-2</v>
      </c>
      <c r="G159" s="2">
        <v>682.81</v>
      </c>
      <c r="H159" s="2">
        <v>97.679244615902988</v>
      </c>
      <c r="I159" s="2">
        <v>585.13075538409691</v>
      </c>
    </row>
    <row r="160" spans="4:9" x14ac:dyDescent="0.2">
      <c r="D160" s="1">
        <v>59902</v>
      </c>
      <c r="E160" s="2">
        <v>44068.238211885844</v>
      </c>
      <c r="F160" s="3">
        <v>2.6249999999999999E-2</v>
      </c>
      <c r="G160" s="2">
        <v>682.81</v>
      </c>
      <c r="H160" s="2">
        <v>96.399271088500271</v>
      </c>
      <c r="I160" s="2">
        <v>586.41072891149963</v>
      </c>
    </row>
    <row r="161" spans="4:9" x14ac:dyDescent="0.2">
      <c r="D161" s="1">
        <v>59933</v>
      </c>
      <c r="E161" s="2">
        <v>43481.827482974346</v>
      </c>
      <c r="F161" s="3">
        <v>2.6249999999999999E-2</v>
      </c>
      <c r="G161" s="2">
        <v>682.81</v>
      </c>
      <c r="H161" s="2">
        <v>95.116497619006367</v>
      </c>
      <c r="I161" s="2">
        <v>587.69350238099355</v>
      </c>
    </row>
    <row r="162" spans="4:9" x14ac:dyDescent="0.2">
      <c r="D162" s="1">
        <v>59962</v>
      </c>
      <c r="E162" s="2">
        <v>42894.133980593353</v>
      </c>
      <c r="F162" s="3">
        <v>2.6249999999999999E-2</v>
      </c>
      <c r="G162" s="2">
        <v>682.81</v>
      </c>
      <c r="H162" s="2">
        <v>93.830918082547953</v>
      </c>
      <c r="I162" s="2">
        <v>588.97908191745205</v>
      </c>
    </row>
    <row r="163" spans="4:9" x14ac:dyDescent="0.2">
      <c r="D163" s="1">
        <v>59993</v>
      </c>
      <c r="E163" s="2">
        <v>42305.154898675901</v>
      </c>
      <c r="F163" s="3">
        <v>2.6249999999999999E-2</v>
      </c>
      <c r="G163" s="2">
        <v>682.81</v>
      </c>
      <c r="H163" s="2">
        <v>92.542526340853527</v>
      </c>
      <c r="I163" s="2">
        <v>590.26747365914639</v>
      </c>
    </row>
    <row r="164" spans="4:9" x14ac:dyDescent="0.2">
      <c r="D164" s="1">
        <v>60023</v>
      </c>
      <c r="E164" s="2">
        <v>41714.887425016757</v>
      </c>
      <c r="F164" s="3">
        <v>2.6249999999999999E-2</v>
      </c>
      <c r="G164" s="2">
        <v>682.81</v>
      </c>
      <c r="H164" s="2">
        <v>91.251316242224149</v>
      </c>
      <c r="I164" s="2">
        <v>591.55868375777584</v>
      </c>
    </row>
    <row r="165" spans="4:9" x14ac:dyDescent="0.2">
      <c r="D165" s="1">
        <v>60054</v>
      </c>
      <c r="E165" s="2">
        <v>41123.328741258978</v>
      </c>
      <c r="F165" s="3">
        <v>2.6249999999999999E-2</v>
      </c>
      <c r="G165" s="2">
        <v>682.81</v>
      </c>
      <c r="H165" s="2">
        <v>89.957281621504009</v>
      </c>
      <c r="I165" s="2">
        <v>592.85271837849598</v>
      </c>
    </row>
    <row r="166" spans="4:9" x14ac:dyDescent="0.2">
      <c r="D166" s="1">
        <v>60084</v>
      </c>
      <c r="E166" s="2">
        <v>40530.476022880481</v>
      </c>
      <c r="F166" s="3">
        <v>2.6249999999999999E-2</v>
      </c>
      <c r="G166" s="2">
        <v>682.81</v>
      </c>
      <c r="H166" s="2">
        <v>88.66041630005104</v>
      </c>
      <c r="I166" s="2">
        <v>594.14958369994895</v>
      </c>
    </row>
    <row r="167" spans="4:9" x14ac:dyDescent="0.2">
      <c r="D167" s="1">
        <v>60115</v>
      </c>
      <c r="E167" s="2">
        <v>39936.326439180535</v>
      </c>
      <c r="F167" s="3">
        <v>2.6249999999999999E-2</v>
      </c>
      <c r="G167" s="2">
        <v>682.81</v>
      </c>
      <c r="H167" s="2">
        <v>87.360714085707414</v>
      </c>
      <c r="I167" s="2">
        <v>595.44928591429255</v>
      </c>
    </row>
    <row r="168" spans="4:9" x14ac:dyDescent="0.2">
      <c r="D168" s="1">
        <v>60146</v>
      </c>
      <c r="E168" s="2">
        <v>39340.877153266243</v>
      </c>
      <c r="F168" s="3">
        <v>2.6249999999999999E-2</v>
      </c>
      <c r="G168" s="2">
        <v>682.81</v>
      </c>
      <c r="H168" s="2">
        <v>86.058168772769903</v>
      </c>
      <c r="I168" s="2">
        <v>596.75183122723001</v>
      </c>
    </row>
    <row r="169" spans="4:9" x14ac:dyDescent="0.2">
      <c r="D169" s="1">
        <v>60176</v>
      </c>
      <c r="E169" s="2">
        <v>38744.125322039014</v>
      </c>
      <c r="F169" s="3">
        <v>2.6249999999999999E-2</v>
      </c>
      <c r="G169" s="2">
        <v>682.81</v>
      </c>
      <c r="H169" s="2">
        <v>84.75277414196033</v>
      </c>
      <c r="I169" s="2">
        <v>598.0572258580396</v>
      </c>
    </row>
    <row r="170" spans="4:9" x14ac:dyDescent="0.2">
      <c r="D170" s="1">
        <v>60207</v>
      </c>
      <c r="E170" s="2">
        <v>38146.06809618097</v>
      </c>
      <c r="F170" s="3">
        <v>2.6249999999999999E-2</v>
      </c>
      <c r="G170" s="2">
        <v>682.81</v>
      </c>
      <c r="H170" s="2">
        <v>83.44452396039587</v>
      </c>
      <c r="I170" s="2">
        <v>599.36547603960412</v>
      </c>
    </row>
    <row r="171" spans="4:9" x14ac:dyDescent="0.2">
      <c r="D171" s="1">
        <v>60237</v>
      </c>
      <c r="E171" s="2">
        <v>37546.702620141368</v>
      </c>
      <c r="F171" s="3">
        <v>2.6249999999999999E-2</v>
      </c>
      <c r="G171" s="2">
        <v>682.81</v>
      </c>
      <c r="H171" s="2">
        <v>82.133411981559235</v>
      </c>
      <c r="I171" s="2">
        <v>600.67658801844073</v>
      </c>
    </row>
    <row r="172" spans="4:9" x14ac:dyDescent="0.2">
      <c r="D172" s="1">
        <v>60268</v>
      </c>
      <c r="E172" s="2">
        <v>36946.026032122929</v>
      </c>
      <c r="F172" s="3">
        <v>2.6249999999999999E-2</v>
      </c>
      <c r="G172" s="2">
        <v>682.81</v>
      </c>
      <c r="H172" s="2">
        <v>80.819431945268903</v>
      </c>
      <c r="I172" s="2">
        <v>601.99056805473106</v>
      </c>
    </row>
    <row r="173" spans="4:9" x14ac:dyDescent="0.2">
      <c r="D173" s="1">
        <v>60299</v>
      </c>
      <c r="E173" s="2">
        <v>36344.035464068198</v>
      </c>
      <c r="F173" s="3">
        <v>2.6249999999999999E-2</v>
      </c>
      <c r="G173" s="2">
        <v>682.81</v>
      </c>
      <c r="H173" s="2">
        <v>79.502577577649177</v>
      </c>
      <c r="I173" s="2">
        <v>603.30742242235078</v>
      </c>
    </row>
    <row r="174" spans="4:9" x14ac:dyDescent="0.2">
      <c r="D174" s="1">
        <v>60327</v>
      </c>
      <c r="E174" s="2">
        <v>35740.728041645845</v>
      </c>
      <c r="F174" s="3">
        <v>2.6249999999999999E-2</v>
      </c>
      <c r="G174" s="2">
        <v>682.81</v>
      </c>
      <c r="H174" s="2">
        <v>78.182842591100282</v>
      </c>
      <c r="I174" s="2">
        <v>604.62715740889962</v>
      </c>
    </row>
    <row r="175" spans="4:9" x14ac:dyDescent="0.2">
      <c r="D175" s="1">
        <v>60358</v>
      </c>
      <c r="E175" s="2">
        <v>35136.100884236948</v>
      </c>
      <c r="F175" s="3">
        <v>2.6249999999999999E-2</v>
      </c>
      <c r="G175" s="2">
        <v>682.81</v>
      </c>
      <c r="H175" s="2">
        <v>76.860220684268313</v>
      </c>
      <c r="I175" s="2">
        <v>605.94977931573158</v>
      </c>
    </row>
    <row r="176" spans="4:9" x14ac:dyDescent="0.2">
      <c r="D176" s="1">
        <v>60388</v>
      </c>
      <c r="E176" s="2">
        <v>34530.151104921213</v>
      </c>
      <c r="F176" s="3">
        <v>2.6249999999999999E-2</v>
      </c>
      <c r="G176" s="2">
        <v>682.81</v>
      </c>
      <c r="H176" s="2">
        <v>75.534705542015146</v>
      </c>
      <c r="I176" s="2">
        <v>607.27529445798484</v>
      </c>
    </row>
    <row r="177" spans="4:9" x14ac:dyDescent="0.2">
      <c r="D177" s="1">
        <v>60419</v>
      </c>
      <c r="E177" s="2">
        <v>33922.875810463229</v>
      </c>
      <c r="F177" s="3">
        <v>2.6249999999999999E-2</v>
      </c>
      <c r="G177" s="2">
        <v>682.81</v>
      </c>
      <c r="H177" s="2">
        <v>74.206290835388302</v>
      </c>
      <c r="I177" s="2">
        <v>608.6037091646117</v>
      </c>
    </row>
    <row r="178" spans="4:9" x14ac:dyDescent="0.2">
      <c r="D178" s="1">
        <v>60449</v>
      </c>
      <c r="E178" s="2">
        <v>33314.272101298615</v>
      </c>
      <c r="F178" s="3">
        <v>2.6249999999999999E-2</v>
      </c>
      <c r="G178" s="2">
        <v>682.81</v>
      </c>
      <c r="H178" s="2">
        <v>72.874970221590715</v>
      </c>
      <c r="I178" s="2">
        <v>609.93502977840922</v>
      </c>
    </row>
    <row r="179" spans="4:9" x14ac:dyDescent="0.2">
      <c r="D179" s="1">
        <v>60480</v>
      </c>
      <c r="E179" s="2">
        <v>32704.337071520207</v>
      </c>
      <c r="F179" s="3">
        <v>2.6249999999999999E-2</v>
      </c>
      <c r="G179" s="2">
        <v>682.81</v>
      </c>
      <c r="H179" s="2">
        <v>71.54073734395044</v>
      </c>
      <c r="I179" s="2">
        <v>611.26926265604948</v>
      </c>
    </row>
    <row r="180" spans="4:9" x14ac:dyDescent="0.2">
      <c r="D180" s="1">
        <v>60511</v>
      </c>
      <c r="E180" s="2">
        <v>32093.067808864158</v>
      </c>
      <c r="F180" s="3">
        <v>2.6249999999999999E-2</v>
      </c>
      <c r="G180" s="2">
        <v>682.81</v>
      </c>
      <c r="H180" s="2">
        <v>70.203585831890337</v>
      </c>
      <c r="I180" s="2">
        <v>612.60641416810961</v>
      </c>
    </row>
    <row r="181" spans="4:9" x14ac:dyDescent="0.2">
      <c r="D181" s="1">
        <v>60541</v>
      </c>
      <c r="E181" s="2">
        <v>31480.461394696049</v>
      </c>
      <c r="F181" s="3">
        <v>2.6249999999999999E-2</v>
      </c>
      <c r="G181" s="2">
        <v>682.81</v>
      </c>
      <c r="H181" s="2">
        <v>68.863509300897604</v>
      </c>
      <c r="I181" s="2">
        <v>613.94649069910236</v>
      </c>
    </row>
    <row r="182" spans="4:9" x14ac:dyDescent="0.2">
      <c r="D182" s="1">
        <v>60572</v>
      </c>
      <c r="E182" s="2">
        <v>30866.514903996947</v>
      </c>
      <c r="F182" s="3">
        <v>2.6249999999999999E-2</v>
      </c>
      <c r="G182" s="2">
        <v>682.81</v>
      </c>
      <c r="H182" s="2">
        <v>67.520501352493312</v>
      </c>
      <c r="I182" s="2">
        <v>615.28949864750666</v>
      </c>
    </row>
    <row r="183" spans="4:9" x14ac:dyDescent="0.2">
      <c r="D183" s="1">
        <v>60602</v>
      </c>
      <c r="E183" s="2">
        <v>30251.22540534944</v>
      </c>
      <c r="F183" s="3">
        <v>2.6249999999999999E-2</v>
      </c>
      <c r="G183" s="2">
        <v>682.81</v>
      </c>
      <c r="H183" s="2">
        <v>66.174555574201889</v>
      </c>
      <c r="I183" s="2">
        <v>616.63544442579803</v>
      </c>
    </row>
    <row r="184" spans="4:9" x14ac:dyDescent="0.2">
      <c r="D184" s="1">
        <v>60633</v>
      </c>
      <c r="E184" s="2">
        <v>29634.58996092364</v>
      </c>
      <c r="F184" s="3">
        <v>2.6249999999999999E-2</v>
      </c>
      <c r="G184" s="2">
        <v>682.81</v>
      </c>
      <c r="H184" s="2">
        <v>64.825665539520458</v>
      </c>
      <c r="I184" s="2">
        <v>617.98433446047943</v>
      </c>
    </row>
    <row r="185" spans="4:9" x14ac:dyDescent="0.2">
      <c r="D185" s="1">
        <v>60664</v>
      </c>
      <c r="E185" s="2">
        <v>29016.605626463162</v>
      </c>
      <c r="F185" s="3">
        <v>2.6249999999999999E-2</v>
      </c>
      <c r="G185" s="2">
        <v>682.81</v>
      </c>
      <c r="H185" s="2">
        <v>63.473824807888164</v>
      </c>
      <c r="I185" s="2">
        <v>619.3361751921118</v>
      </c>
    </row>
    <row r="186" spans="4:9" x14ac:dyDescent="0.2">
      <c r="D186" s="1">
        <v>60692</v>
      </c>
      <c r="E186" s="2">
        <v>28397.269451271051</v>
      </c>
      <c r="F186" s="3">
        <v>2.6249999999999999E-2</v>
      </c>
      <c r="G186" s="2">
        <v>682.81</v>
      </c>
      <c r="H186" s="2">
        <v>62.119026924655415</v>
      </c>
      <c r="I186" s="2">
        <v>620.69097307534457</v>
      </c>
    </row>
    <row r="187" spans="4:9" x14ac:dyDescent="0.2">
      <c r="D187" s="1">
        <v>60723</v>
      </c>
      <c r="E187" s="2">
        <v>27776.578478195708</v>
      </c>
      <c r="F187" s="3">
        <v>2.6249999999999999E-2</v>
      </c>
      <c r="G187" s="2">
        <v>682.81</v>
      </c>
      <c r="H187" s="2">
        <v>60.761265421053103</v>
      </c>
      <c r="I187" s="2">
        <v>622.04873457894689</v>
      </c>
    </row>
    <row r="188" spans="4:9" x14ac:dyDescent="0.2">
      <c r="D188" s="1">
        <v>60753</v>
      </c>
      <c r="E188" s="2">
        <v>27154.52974361676</v>
      </c>
      <c r="F188" s="3">
        <v>2.6249999999999999E-2</v>
      </c>
      <c r="G188" s="2">
        <v>682.81</v>
      </c>
      <c r="H188" s="2">
        <v>59.400533814161655</v>
      </c>
      <c r="I188" s="2">
        <v>623.40946618583826</v>
      </c>
    </row>
    <row r="189" spans="4:9" x14ac:dyDescent="0.2">
      <c r="D189" s="1">
        <v>60784</v>
      </c>
      <c r="E189" s="2">
        <v>26531.12027743092</v>
      </c>
      <c r="F189" s="3">
        <v>2.6249999999999999E-2</v>
      </c>
      <c r="G189" s="2">
        <v>682.81</v>
      </c>
      <c r="H189" s="2">
        <v>58.036825606880136</v>
      </c>
      <c r="I189" s="2">
        <v>624.7731743931198</v>
      </c>
    </row>
    <row r="190" spans="4:9" x14ac:dyDescent="0.2">
      <c r="D190" s="1">
        <v>60814</v>
      </c>
      <c r="E190" s="2">
        <v>25906.347103037802</v>
      </c>
      <c r="F190" s="3">
        <v>2.6249999999999999E-2</v>
      </c>
      <c r="G190" s="2">
        <v>682.81</v>
      </c>
      <c r="H190" s="2">
        <v>56.670134287895188</v>
      </c>
      <c r="I190" s="2">
        <v>626.13986571210478</v>
      </c>
    </row>
    <row r="191" spans="4:9" x14ac:dyDescent="0.2">
      <c r="D191" s="1">
        <v>60845</v>
      </c>
      <c r="E191" s="2">
        <v>25280.207237325696</v>
      </c>
      <c r="F191" s="3">
        <v>2.6249999999999999E-2</v>
      </c>
      <c r="G191" s="2">
        <v>682.81</v>
      </c>
      <c r="H191" s="2">
        <v>55.300453331649955</v>
      </c>
      <c r="I191" s="2">
        <v>627.50954666835003</v>
      </c>
    </row>
    <row r="192" spans="4:9" x14ac:dyDescent="0.2">
      <c r="D192" s="1">
        <v>60876</v>
      </c>
      <c r="E192" s="2">
        <v>24652.697690657347</v>
      </c>
      <c r="F192" s="3">
        <v>2.6249999999999999E-2</v>
      </c>
      <c r="G192" s="2">
        <v>682.81</v>
      </c>
      <c r="H192" s="2">
        <v>53.927776198312941</v>
      </c>
      <c r="I192" s="2">
        <v>628.88222380168702</v>
      </c>
    </row>
    <row r="193" spans="4:9" x14ac:dyDescent="0.2">
      <c r="D193" s="1">
        <v>60906</v>
      </c>
      <c r="E193" s="2">
        <v>24023.81546685566</v>
      </c>
      <c r="F193" s="3">
        <v>2.6249999999999999E-2</v>
      </c>
      <c r="G193" s="2">
        <v>682.81</v>
      </c>
      <c r="H193" s="2">
        <v>52.552096333746753</v>
      </c>
      <c r="I193" s="2">
        <v>630.25790366625324</v>
      </c>
    </row>
    <row r="194" spans="4:9" x14ac:dyDescent="0.2">
      <c r="D194" s="1">
        <v>60937</v>
      </c>
      <c r="E194" s="2">
        <v>23393.557563189406</v>
      </c>
      <c r="F194" s="3">
        <v>2.6249999999999999E-2</v>
      </c>
      <c r="G194" s="2">
        <v>682.81</v>
      </c>
      <c r="H194" s="2">
        <v>51.173407169476818</v>
      </c>
      <c r="I194" s="2">
        <v>631.63659283052311</v>
      </c>
    </row>
    <row r="195" spans="4:9" x14ac:dyDescent="0.2">
      <c r="D195" s="1">
        <v>60967</v>
      </c>
      <c r="E195" s="2">
        <v>22761.920970358882</v>
      </c>
      <c r="F195" s="3">
        <v>2.6249999999999999E-2</v>
      </c>
      <c r="G195" s="2">
        <v>682.81</v>
      </c>
      <c r="H195" s="2">
        <v>49.791702122660048</v>
      </c>
      <c r="I195" s="2">
        <v>633.01829787733993</v>
      </c>
    </row>
    <row r="196" spans="4:9" x14ac:dyDescent="0.2">
      <c r="D196" s="1">
        <v>60998</v>
      </c>
      <c r="E196" s="2">
        <v>22128.902672481541</v>
      </c>
      <c r="F196" s="3">
        <v>2.6249999999999999E-2</v>
      </c>
      <c r="G196" s="2">
        <v>682.81</v>
      </c>
      <c r="H196" s="2">
        <v>48.406974596053367</v>
      </c>
      <c r="I196" s="2">
        <v>634.40302540394657</v>
      </c>
    </row>
    <row r="197" spans="4:9" x14ac:dyDescent="0.2">
      <c r="D197" s="1">
        <v>61029</v>
      </c>
      <c r="E197" s="2">
        <v>21494.499647077595</v>
      </c>
      <c r="F197" s="3">
        <v>2.6249999999999999E-2</v>
      </c>
      <c r="G197" s="2">
        <v>682.81</v>
      </c>
      <c r="H197" s="2">
        <v>47.019217977982237</v>
      </c>
      <c r="I197" s="2">
        <v>635.79078202201777</v>
      </c>
    </row>
    <row r="198" spans="4:9" x14ac:dyDescent="0.2">
      <c r="D198" s="1">
        <v>61057</v>
      </c>
      <c r="E198" s="2">
        <v>20858.708865055578</v>
      </c>
      <c r="F198" s="3">
        <v>2.6249999999999999E-2</v>
      </c>
      <c r="G198" s="2">
        <v>682.81</v>
      </c>
      <c r="H198" s="2">
        <v>45.628425642309075</v>
      </c>
      <c r="I198" s="2">
        <v>637.18157435769092</v>
      </c>
    </row>
    <row r="199" spans="4:9" x14ac:dyDescent="0.2">
      <c r="D199" s="1">
        <v>61088</v>
      </c>
      <c r="E199" s="2">
        <v>20221.527290697886</v>
      </c>
      <c r="F199" s="3">
        <v>2.6249999999999999E-2</v>
      </c>
      <c r="G199" s="2">
        <v>682.81</v>
      </c>
      <c r="H199" s="2">
        <v>44.234590948401625</v>
      </c>
      <c r="I199" s="2">
        <v>638.57540905159829</v>
      </c>
    </row>
    <row r="200" spans="4:9" x14ac:dyDescent="0.2">
      <c r="D200" s="1">
        <v>61118</v>
      </c>
      <c r="E200" s="2">
        <v>19582.951881646288</v>
      </c>
      <c r="F200" s="3">
        <v>2.6249999999999999E-2</v>
      </c>
      <c r="G200" s="2">
        <v>682.81</v>
      </c>
      <c r="H200" s="2">
        <v>42.837707241101249</v>
      </c>
      <c r="I200" s="2">
        <v>639.97229275889867</v>
      </c>
    </row>
    <row r="201" spans="4:9" x14ac:dyDescent="0.2">
      <c r="D201" s="1">
        <v>61149</v>
      </c>
      <c r="E201" s="2">
        <v>18942.979588887389</v>
      </c>
      <c r="F201" s="3">
        <v>2.6249999999999999E-2</v>
      </c>
      <c r="G201" s="2">
        <v>682.81</v>
      </c>
      <c r="H201" s="2">
        <v>41.437767850691159</v>
      </c>
      <c r="I201" s="2">
        <v>641.37223214930873</v>
      </c>
    </row>
    <row r="202" spans="4:9" x14ac:dyDescent="0.2">
      <c r="D202" s="1">
        <v>61179</v>
      </c>
      <c r="E202" s="2">
        <v>18301.607356738081</v>
      </c>
      <c r="F202" s="3">
        <v>2.6249999999999999E-2</v>
      </c>
      <c r="G202" s="2">
        <v>682.81</v>
      </c>
      <c r="H202" s="2">
        <v>40.034766092864551</v>
      </c>
      <c r="I202" s="2">
        <v>642.77523390713543</v>
      </c>
    </row>
    <row r="203" spans="4:9" x14ac:dyDescent="0.2">
      <c r="D203" s="1">
        <v>61210</v>
      </c>
      <c r="E203" s="2">
        <v>17658.832122830947</v>
      </c>
      <c r="F203" s="3">
        <v>2.6249999999999999E-2</v>
      </c>
      <c r="G203" s="2">
        <v>682.81</v>
      </c>
      <c r="H203" s="2">
        <v>38.628695268692695</v>
      </c>
      <c r="I203" s="2">
        <v>644.18130473130725</v>
      </c>
    </row>
    <row r="204" spans="4:9" x14ac:dyDescent="0.2">
      <c r="D204" s="1">
        <v>61241</v>
      </c>
      <c r="E204" s="2">
        <v>17014.650818099639</v>
      </c>
      <c r="F204" s="3">
        <v>2.6249999999999999E-2</v>
      </c>
      <c r="G204" s="2">
        <v>682.81</v>
      </c>
      <c r="H204" s="2">
        <v>37.219548664592956</v>
      </c>
      <c r="I204" s="2">
        <v>645.59045133540701</v>
      </c>
    </row>
    <row r="205" spans="4:9" x14ac:dyDescent="0.2">
      <c r="D205" s="1">
        <v>61271</v>
      </c>
      <c r="E205" s="2">
        <v>16369.060366764232</v>
      </c>
      <c r="F205" s="3">
        <v>2.6249999999999999E-2</v>
      </c>
      <c r="G205" s="2">
        <v>682.81</v>
      </c>
      <c r="H205" s="2">
        <v>35.807319552296754</v>
      </c>
      <c r="I205" s="2">
        <v>647.00268044770314</v>
      </c>
    </row>
    <row r="206" spans="4:9" x14ac:dyDescent="0.2">
      <c r="D206" s="1">
        <v>61302</v>
      </c>
      <c r="E206" s="2">
        <v>15722.057686316528</v>
      </c>
      <c r="F206" s="3">
        <v>2.6249999999999999E-2</v>
      </c>
      <c r="G206" s="2">
        <v>682.81</v>
      </c>
      <c r="H206" s="2">
        <v>34.392001188817403</v>
      </c>
      <c r="I206" s="2">
        <v>648.41799881118254</v>
      </c>
    </row>
    <row r="207" spans="4:9" x14ac:dyDescent="0.2">
      <c r="D207" s="1">
        <v>61332</v>
      </c>
      <c r="E207" s="2">
        <v>15073.639687505345</v>
      </c>
      <c r="F207" s="3">
        <v>2.6249999999999999E-2</v>
      </c>
      <c r="G207" s="2">
        <v>682.81</v>
      </c>
      <c r="H207" s="2">
        <v>32.973586816417942</v>
      </c>
      <c r="I207" s="2">
        <v>649.83641318358195</v>
      </c>
    </row>
    <row r="208" spans="4:9" x14ac:dyDescent="0.2">
      <c r="D208" s="1">
        <v>61363</v>
      </c>
      <c r="E208" s="2">
        <v>14423.803274321763</v>
      </c>
      <c r="F208" s="3">
        <v>2.6249999999999999E-2</v>
      </c>
      <c r="G208" s="2">
        <v>682.81</v>
      </c>
      <c r="H208" s="2">
        <v>31.552069662578852</v>
      </c>
      <c r="I208" s="2">
        <v>651.25793033742104</v>
      </c>
    </row>
    <row r="209" spans="4:9" x14ac:dyDescent="0.2">
      <c r="D209" s="1">
        <v>61394</v>
      </c>
      <c r="E209" s="2">
        <v>13772.545343984342</v>
      </c>
      <c r="F209" s="3">
        <v>2.6249999999999999E-2</v>
      </c>
      <c r="G209" s="2">
        <v>682.81</v>
      </c>
      <c r="H209" s="2">
        <v>30.127442939965746</v>
      </c>
      <c r="I209" s="2">
        <v>652.68255706003424</v>
      </c>
    </row>
    <row r="210" spans="4:9" x14ac:dyDescent="0.2">
      <c r="D210" s="1">
        <v>61423</v>
      </c>
      <c r="E210" s="2">
        <v>13119.862786924308</v>
      </c>
      <c r="F210" s="3">
        <v>2.6249999999999999E-2</v>
      </c>
      <c r="G210" s="2">
        <v>682.81</v>
      </c>
      <c r="H210" s="2">
        <v>28.699699846396921</v>
      </c>
      <c r="I210" s="2">
        <v>654.11030015360302</v>
      </c>
    </row>
    <row r="211" spans="4:9" x14ac:dyDescent="0.2">
      <c r="D211" s="1">
        <v>61454</v>
      </c>
      <c r="E211" s="2">
        <v>12465.752486770705</v>
      </c>
      <c r="F211" s="3">
        <v>2.6249999999999999E-2</v>
      </c>
      <c r="G211" s="2">
        <v>682.81</v>
      </c>
      <c r="H211" s="2">
        <v>27.268833564810915</v>
      </c>
      <c r="I211" s="2">
        <v>655.54116643518898</v>
      </c>
    </row>
    <row r="212" spans="4:9" x14ac:dyDescent="0.2">
      <c r="D212" s="1">
        <v>61484</v>
      </c>
      <c r="E212" s="2">
        <v>11810.211320335517</v>
      </c>
      <c r="F212" s="3">
        <v>2.6249999999999999E-2</v>
      </c>
      <c r="G212" s="2">
        <v>682.81</v>
      </c>
      <c r="H212" s="2">
        <v>25.83483726323394</v>
      </c>
      <c r="I212" s="2">
        <v>656.97516273676604</v>
      </c>
    </row>
    <row r="213" spans="4:9" x14ac:dyDescent="0.2">
      <c r="D213" s="1">
        <v>61515</v>
      </c>
      <c r="E213" s="2">
        <v>11153.236157598751</v>
      </c>
      <c r="F213" s="3">
        <v>2.6249999999999999E-2</v>
      </c>
      <c r="G213" s="2">
        <v>682.81</v>
      </c>
      <c r="H213" s="2">
        <v>24.397704094747265</v>
      </c>
      <c r="I213" s="2">
        <v>658.41229590525268</v>
      </c>
    </row>
    <row r="214" spans="4:9" x14ac:dyDescent="0.2">
      <c r="D214" s="1">
        <v>61545</v>
      </c>
      <c r="E214" s="2">
        <v>10494.823861693498</v>
      </c>
      <c r="F214" s="3">
        <v>2.6249999999999999E-2</v>
      </c>
      <c r="G214" s="2">
        <v>682.81</v>
      </c>
      <c r="H214" s="2">
        <v>22.957427197454525</v>
      </c>
      <c r="I214" s="2">
        <v>659.85257280254541</v>
      </c>
    </row>
    <row r="215" spans="4:9" x14ac:dyDescent="0.2">
      <c r="D215" s="1">
        <v>61576</v>
      </c>
      <c r="E215" s="2">
        <v>9834.9712888909526</v>
      </c>
      <c r="F215" s="3">
        <v>2.6249999999999999E-2</v>
      </c>
      <c r="G215" s="2">
        <v>682.81</v>
      </c>
      <c r="H215" s="2">
        <v>21.513999694448955</v>
      </c>
      <c r="I215" s="2">
        <v>661.29600030555093</v>
      </c>
    </row>
    <row r="216" spans="4:9" x14ac:dyDescent="0.2">
      <c r="D216" s="1">
        <v>61607</v>
      </c>
      <c r="E216" s="2">
        <v>9173.6752885854021</v>
      </c>
      <c r="F216" s="3">
        <v>2.6249999999999999E-2</v>
      </c>
      <c r="G216" s="2">
        <v>682.81</v>
      </c>
      <c r="H216" s="2">
        <v>20.067414693780567</v>
      </c>
      <c r="I216" s="2">
        <v>662.74258530621933</v>
      </c>
    </row>
    <row r="217" spans="4:9" x14ac:dyDescent="0.2">
      <c r="D217" s="1">
        <v>61637</v>
      </c>
      <c r="E217" s="2">
        <v>8510.9327032791825</v>
      </c>
      <c r="F217" s="3">
        <v>2.6249999999999999E-2</v>
      </c>
      <c r="G217" s="2">
        <v>682.81</v>
      </c>
      <c r="H217" s="2">
        <v>18.617665288423211</v>
      </c>
      <c r="I217" s="2">
        <v>664.19233471157668</v>
      </c>
    </row>
    <row r="218" spans="4:9" x14ac:dyDescent="0.2">
      <c r="D218" s="1">
        <v>61668</v>
      </c>
      <c r="E218" s="2">
        <v>7846.7403685676054</v>
      </c>
      <c r="F218" s="3">
        <v>2.6249999999999999E-2</v>
      </c>
      <c r="G218" s="2">
        <v>682.81</v>
      </c>
      <c r="H218" s="2">
        <v>17.164744556241637</v>
      </c>
      <c r="I218" s="2">
        <v>665.64525544375829</v>
      </c>
    </row>
    <row r="219" spans="4:9" x14ac:dyDescent="0.2">
      <c r="D219" s="1">
        <v>61698</v>
      </c>
      <c r="E219" s="2">
        <v>7181.0951131238471</v>
      </c>
      <c r="F219" s="3">
        <v>2.6249999999999999E-2</v>
      </c>
      <c r="G219" s="2">
        <v>682.81</v>
      </c>
      <c r="H219" s="2">
        <v>15.708645559958414</v>
      </c>
      <c r="I219" s="2">
        <v>667.10135444004152</v>
      </c>
    </row>
    <row r="220" spans="4:9" x14ac:dyDescent="0.2">
      <c r="D220" s="1">
        <v>61729</v>
      </c>
      <c r="E220" s="2">
        <v>6513.9937586838059</v>
      </c>
      <c r="F220" s="3">
        <v>2.6249999999999999E-2</v>
      </c>
      <c r="G220" s="2">
        <v>682.81</v>
      </c>
      <c r="H220" s="2">
        <v>14.249361347120823</v>
      </c>
      <c r="I220" s="2">
        <v>668.56063865287911</v>
      </c>
    </row>
    <row r="221" spans="4:9" x14ac:dyDescent="0.2">
      <c r="D221" s="1">
        <v>61760</v>
      </c>
      <c r="E221" s="2">
        <v>5845.4331200309271</v>
      </c>
      <c r="F221" s="3">
        <v>2.6249999999999999E-2</v>
      </c>
      <c r="G221" s="2">
        <v>682.81</v>
      </c>
      <c r="H221" s="2">
        <v>12.786884950067652</v>
      </c>
      <c r="I221" s="2">
        <v>670.02311504993224</v>
      </c>
    </row>
    <row r="222" spans="4:9" x14ac:dyDescent="0.2">
      <c r="D222" s="1">
        <v>61788</v>
      </c>
      <c r="E222" s="2">
        <v>5175.4100049809949</v>
      </c>
      <c r="F222" s="3">
        <v>2.6249999999999999E-2</v>
      </c>
      <c r="G222" s="2">
        <v>682.81</v>
      </c>
      <c r="H222" s="2">
        <v>11.321209385895925</v>
      </c>
      <c r="I222" s="2">
        <v>671.488790614104</v>
      </c>
    </row>
    <row r="223" spans="4:9" x14ac:dyDescent="0.2">
      <c r="D223" s="1">
        <v>61819</v>
      </c>
      <c r="E223" s="2">
        <v>4503.921214366891</v>
      </c>
      <c r="F223" s="3">
        <v>2.6249999999999999E-2</v>
      </c>
      <c r="G223" s="2">
        <v>682.81</v>
      </c>
      <c r="H223" s="2">
        <v>9.8523276564275726</v>
      </c>
      <c r="I223" s="2">
        <v>672.95767234357243</v>
      </c>
    </row>
    <row r="224" spans="4:9" x14ac:dyDescent="0.2">
      <c r="D224" s="1">
        <v>61849</v>
      </c>
      <c r="E224" s="2">
        <v>3830.9635420233185</v>
      </c>
      <c r="F224" s="3">
        <v>2.6249999999999999E-2</v>
      </c>
      <c r="G224" s="2">
        <v>682.81</v>
      </c>
      <c r="H224" s="2">
        <v>8.3802327481760077</v>
      </c>
      <c r="I224" s="2">
        <v>674.42976725182393</v>
      </c>
    </row>
    <row r="225" spans="4:9" x14ac:dyDescent="0.2">
      <c r="D225" s="1">
        <v>61880</v>
      </c>
      <c r="E225" s="2">
        <v>3156.5337747714948</v>
      </c>
      <c r="F225" s="3">
        <v>2.6249999999999999E-2</v>
      </c>
      <c r="G225" s="2">
        <v>682.81</v>
      </c>
      <c r="H225" s="2">
        <v>6.9049176323126442</v>
      </c>
      <c r="I225" s="2">
        <v>675.90508236768733</v>
      </c>
    </row>
    <row r="226" spans="4:9" x14ac:dyDescent="0.2">
      <c r="D226" s="1">
        <v>61910</v>
      </c>
      <c r="E226" s="2">
        <v>2480.6286924038077</v>
      </c>
      <c r="F226" s="3">
        <v>2.6249999999999999E-2</v>
      </c>
      <c r="G226" s="2">
        <v>682.81</v>
      </c>
      <c r="H226" s="2">
        <v>5.4263752646333288</v>
      </c>
      <c r="I226" s="2">
        <v>677.38362473536665</v>
      </c>
    </row>
    <row r="227" spans="4:9" x14ac:dyDescent="0.2">
      <c r="D227" s="1">
        <v>61941</v>
      </c>
      <c r="E227" s="2">
        <v>1803.2450676684412</v>
      </c>
      <c r="F227" s="3">
        <v>2.6249999999999999E-2</v>
      </c>
      <c r="G227" s="2">
        <v>682.81</v>
      </c>
      <c r="H227" s="2">
        <v>3.9445985855247145</v>
      </c>
      <c r="I227" s="2">
        <v>678.86540141447529</v>
      </c>
    </row>
    <row r="228" spans="4:9" x14ac:dyDescent="0.2">
      <c r="D228" s="1">
        <v>61972</v>
      </c>
      <c r="E228" s="2">
        <v>1124.3796662539658</v>
      </c>
      <c r="F228" s="3">
        <v>2.6249999999999999E-2</v>
      </c>
      <c r="G228" s="2">
        <v>682.81</v>
      </c>
      <c r="H228" s="2">
        <v>2.45958051993055</v>
      </c>
      <c r="I228" s="2">
        <v>680.35041948006938</v>
      </c>
    </row>
    <row r="229" spans="4:9" x14ac:dyDescent="0.2">
      <c r="D229" s="1">
        <v>61972</v>
      </c>
      <c r="E229" s="2">
        <v>444.02924677389638</v>
      </c>
      <c r="F229" s="3">
        <v>2.6249999999999999E-2</v>
      </c>
      <c r="G229" s="2">
        <v>444.02924677389638</v>
      </c>
      <c r="H229" s="2">
        <v>0</v>
      </c>
      <c r="I229" s="2">
        <v>444.02924677389638</v>
      </c>
    </row>
    <row r="230" spans="4:9" x14ac:dyDescent="0.2">
      <c r="D230" s="1"/>
      <c r="E230" s="2"/>
      <c r="F230" s="3"/>
      <c r="G230" s="2"/>
      <c r="H230" s="2"/>
      <c r="I230" s="2"/>
    </row>
    <row r="231" spans="4:9" x14ac:dyDescent="0.2">
      <c r="D231" s="1"/>
      <c r="E231" s="2"/>
      <c r="F231" s="3"/>
      <c r="G231" s="2"/>
      <c r="H231" s="2"/>
      <c r="I231" s="2"/>
    </row>
    <row r="232" spans="4:9" x14ac:dyDescent="0.2">
      <c r="D232" s="1"/>
      <c r="E232" s="2"/>
      <c r="F232" s="3"/>
      <c r="G232" s="2"/>
      <c r="H232" s="2"/>
      <c r="I232" s="2"/>
    </row>
    <row r="233" spans="4:9" x14ac:dyDescent="0.2">
      <c r="D233" s="1"/>
      <c r="E233" s="2"/>
      <c r="F233" s="3"/>
      <c r="G233" s="2"/>
      <c r="H233" s="2"/>
      <c r="I233" s="2"/>
    </row>
    <row r="234" spans="4:9" x14ac:dyDescent="0.2">
      <c r="D234" s="1"/>
      <c r="E234" s="2"/>
      <c r="F234" s="3"/>
      <c r="G234" s="2"/>
      <c r="H234" s="2"/>
      <c r="I234" s="2"/>
    </row>
    <row r="235" spans="4:9" x14ac:dyDescent="0.2">
      <c r="D235" s="1"/>
      <c r="E235" s="2"/>
      <c r="F235" s="3"/>
      <c r="G235" s="2"/>
      <c r="H235" s="2"/>
      <c r="I235" s="2"/>
    </row>
    <row r="236" spans="4:9" x14ac:dyDescent="0.2">
      <c r="D236" s="1"/>
      <c r="E236" s="2"/>
      <c r="F236" s="3"/>
      <c r="G236" s="2"/>
      <c r="H236" s="2"/>
      <c r="I236" s="2"/>
    </row>
    <row r="237" spans="4:9" x14ac:dyDescent="0.2">
      <c r="D237" s="1"/>
      <c r="E237" s="2"/>
      <c r="F237" s="3"/>
      <c r="G237" s="2"/>
      <c r="H237" s="2"/>
      <c r="I237" s="2"/>
    </row>
    <row r="238" spans="4:9" x14ac:dyDescent="0.2">
      <c r="D238" s="1"/>
      <c r="E238" s="2"/>
      <c r="F238" s="3"/>
      <c r="G238" s="2"/>
      <c r="H238" s="2"/>
      <c r="I238" s="2"/>
    </row>
    <row r="239" spans="4:9" x14ac:dyDescent="0.2">
      <c r="D239" s="1"/>
      <c r="E239" s="2"/>
      <c r="F239" s="3"/>
      <c r="G239" s="2"/>
      <c r="H239" s="2"/>
      <c r="I239" s="2"/>
    </row>
    <row r="240" spans="4:9" x14ac:dyDescent="0.2">
      <c r="D240" s="1"/>
      <c r="E240" s="2"/>
      <c r="F240" s="3"/>
      <c r="G240" s="2"/>
      <c r="H240" s="2"/>
      <c r="I240" s="2"/>
    </row>
    <row r="241" spans="4:9" x14ac:dyDescent="0.2">
      <c r="D241" s="1"/>
      <c r="E241" s="2"/>
      <c r="F241" s="3"/>
      <c r="G241" s="2"/>
      <c r="H241" s="2"/>
      <c r="I241" s="2"/>
    </row>
    <row r="242" spans="4:9" x14ac:dyDescent="0.2">
      <c r="D242" s="1"/>
      <c r="E242" s="2"/>
      <c r="F242" s="3"/>
      <c r="G242" s="2"/>
      <c r="H242" s="2"/>
      <c r="I242" s="2"/>
    </row>
    <row r="243" spans="4:9" x14ac:dyDescent="0.2">
      <c r="D243" s="1"/>
      <c r="E243" s="2"/>
      <c r="F243" s="3"/>
      <c r="G243" s="2"/>
      <c r="H243" s="2"/>
      <c r="I243" s="2"/>
    </row>
    <row r="244" spans="4:9" x14ac:dyDescent="0.2">
      <c r="D244" s="1"/>
      <c r="E244" s="2"/>
      <c r="F244" s="3"/>
      <c r="G244" s="2"/>
      <c r="H244" s="2"/>
      <c r="I244" s="2"/>
    </row>
    <row r="245" spans="4:9" x14ac:dyDescent="0.2">
      <c r="D245" s="1"/>
      <c r="E245" s="2"/>
      <c r="F245" s="3"/>
      <c r="G245" s="2"/>
      <c r="H245" s="2"/>
      <c r="I245" s="2"/>
    </row>
    <row r="246" spans="4:9" x14ac:dyDescent="0.2">
      <c r="D246" s="1"/>
      <c r="E246" s="2"/>
      <c r="F246" s="3"/>
      <c r="G246" s="2"/>
      <c r="H246" s="2"/>
      <c r="I246" s="2"/>
    </row>
    <row r="247" spans="4:9" x14ac:dyDescent="0.2">
      <c r="D247" s="1"/>
      <c r="E247" s="2"/>
      <c r="F247" s="3"/>
      <c r="G247" s="2"/>
      <c r="H247" s="2"/>
      <c r="I247" s="2"/>
    </row>
    <row r="248" spans="4:9" x14ac:dyDescent="0.2">
      <c r="D248" s="1"/>
      <c r="E248" s="2"/>
      <c r="F248" s="3"/>
      <c r="G248" s="2"/>
      <c r="H248" s="2"/>
      <c r="I248" s="2"/>
    </row>
    <row r="249" spans="4:9" x14ac:dyDescent="0.2">
      <c r="D249" s="1"/>
      <c r="E249" s="2"/>
      <c r="F249" s="3"/>
      <c r="G249" s="2"/>
      <c r="H249" s="2"/>
      <c r="I249" s="2"/>
    </row>
    <row r="250" spans="4:9" x14ac:dyDescent="0.2">
      <c r="D250" s="1"/>
      <c r="E250" s="2"/>
      <c r="F250" s="3"/>
      <c r="G250" s="2"/>
      <c r="H250" s="2"/>
      <c r="I250" s="2"/>
    </row>
    <row r="251" spans="4:9" x14ac:dyDescent="0.2">
      <c r="D251" s="1"/>
      <c r="E251" s="2"/>
      <c r="F251" s="3"/>
      <c r="G251" s="2"/>
      <c r="H251" s="2"/>
      <c r="I251" s="2"/>
    </row>
    <row r="252" spans="4:9" x14ac:dyDescent="0.2">
      <c r="D252" s="1"/>
      <c r="E252" s="2"/>
      <c r="F252" s="3"/>
      <c r="G252" s="2"/>
      <c r="H252" s="2"/>
      <c r="I252" s="2"/>
    </row>
    <row r="253" spans="4:9" x14ac:dyDescent="0.2">
      <c r="D253" s="1"/>
      <c r="E253" s="2"/>
      <c r="F253" s="3"/>
      <c r="G253" s="2"/>
      <c r="H253" s="2"/>
      <c r="I253" s="2"/>
    </row>
    <row r="254" spans="4:9" x14ac:dyDescent="0.2">
      <c r="D254" s="1"/>
      <c r="E254" s="2"/>
      <c r="F254" s="3"/>
      <c r="G254" s="2"/>
      <c r="H254" s="2"/>
      <c r="I254" s="2"/>
    </row>
    <row r="255" spans="4:9" x14ac:dyDescent="0.2">
      <c r="D255" s="1"/>
      <c r="E255" s="2"/>
      <c r="F255" s="3"/>
      <c r="G255" s="2"/>
      <c r="H255" s="2"/>
      <c r="I255" s="2"/>
    </row>
    <row r="256" spans="4:9" x14ac:dyDescent="0.2">
      <c r="D256" s="1"/>
      <c r="E256" s="2"/>
      <c r="F256" s="3"/>
      <c r="G256" s="2"/>
      <c r="H256" s="2"/>
      <c r="I256" s="2"/>
    </row>
    <row r="257" spans="4:9" x14ac:dyDescent="0.2">
      <c r="D257" s="1"/>
      <c r="E257" s="2"/>
      <c r="F257" s="3"/>
      <c r="G257" s="2"/>
      <c r="H257" s="2"/>
      <c r="I257" s="2"/>
    </row>
    <row r="258" spans="4:9" x14ac:dyDescent="0.2">
      <c r="D258" s="1"/>
      <c r="E258" s="2"/>
      <c r="F258" s="3"/>
      <c r="G258" s="2"/>
      <c r="H258" s="2"/>
      <c r="I258" s="2"/>
    </row>
    <row r="259" spans="4:9" x14ac:dyDescent="0.2">
      <c r="D259" s="1"/>
      <c r="E259" s="2"/>
      <c r="F259" s="3"/>
      <c r="G259" s="2"/>
      <c r="H259" s="2"/>
      <c r="I259" s="2"/>
    </row>
    <row r="260" spans="4:9" x14ac:dyDescent="0.2">
      <c r="D260" s="1"/>
      <c r="E260" s="2"/>
      <c r="F260" s="3"/>
      <c r="G260" s="2"/>
      <c r="H260" s="2"/>
      <c r="I260" s="2"/>
    </row>
    <row r="261" spans="4:9" x14ac:dyDescent="0.2">
      <c r="D261" s="1"/>
      <c r="E261" s="2"/>
      <c r="F261" s="3"/>
      <c r="G261" s="2"/>
      <c r="H261" s="2"/>
      <c r="I261" s="2"/>
    </row>
    <row r="262" spans="4:9" x14ac:dyDescent="0.2">
      <c r="D262" s="1"/>
      <c r="E262" s="2"/>
      <c r="F262" s="3"/>
      <c r="G262" s="2"/>
      <c r="H262" s="2"/>
      <c r="I262" s="2"/>
    </row>
    <row r="263" spans="4:9" x14ac:dyDescent="0.2">
      <c r="D263" s="1"/>
      <c r="E263" s="2"/>
      <c r="F263" s="3"/>
      <c r="G263" s="2"/>
      <c r="H263" s="2"/>
      <c r="I263" s="2"/>
    </row>
    <row r="264" spans="4:9" x14ac:dyDescent="0.2">
      <c r="D264" s="1"/>
      <c r="E264" s="2"/>
      <c r="F264" s="3"/>
      <c r="G264" s="2"/>
      <c r="H264" s="2"/>
      <c r="I264" s="2"/>
    </row>
    <row r="265" spans="4:9" x14ac:dyDescent="0.2">
      <c r="D265" s="1"/>
      <c r="E265" s="2"/>
      <c r="F265" s="3"/>
      <c r="G265" s="2"/>
      <c r="H265" s="2"/>
      <c r="I265" s="2"/>
    </row>
    <row r="266" spans="4:9" x14ac:dyDescent="0.2">
      <c r="D266" s="1"/>
      <c r="E266" s="2"/>
      <c r="F266" s="3"/>
      <c r="G266" s="2"/>
      <c r="H266" s="2"/>
      <c r="I266" s="2"/>
    </row>
    <row r="267" spans="4:9" x14ac:dyDescent="0.2">
      <c r="D267" s="1"/>
      <c r="E267" s="2"/>
      <c r="F267" s="3"/>
      <c r="G267" s="2"/>
      <c r="H267" s="2"/>
      <c r="I267" s="2"/>
    </row>
    <row r="268" spans="4:9" x14ac:dyDescent="0.2">
      <c r="D268" s="1"/>
      <c r="E268" s="2"/>
      <c r="F268" s="3"/>
      <c r="G268" s="2"/>
      <c r="H268" s="2"/>
      <c r="I268" s="2"/>
    </row>
    <row r="269" spans="4:9" x14ac:dyDescent="0.2">
      <c r="D269" s="1"/>
      <c r="E269" s="2"/>
      <c r="F269" s="3"/>
      <c r="G269" s="2"/>
      <c r="H269" s="2"/>
      <c r="I269" s="2"/>
    </row>
    <row r="270" spans="4:9" x14ac:dyDescent="0.2">
      <c r="D270" s="1"/>
      <c r="E270" s="2"/>
      <c r="F270" s="3"/>
      <c r="G270" s="2"/>
      <c r="H270" s="2"/>
      <c r="I270" s="2"/>
    </row>
    <row r="271" spans="4:9" x14ac:dyDescent="0.2">
      <c r="D271" s="1"/>
      <c r="E271" s="2"/>
      <c r="F271" s="3"/>
      <c r="G271" s="2"/>
      <c r="H271" s="2"/>
      <c r="I271" s="2"/>
    </row>
    <row r="272" spans="4:9" x14ac:dyDescent="0.2">
      <c r="D272" s="1"/>
      <c r="E272" s="2"/>
      <c r="F272" s="3"/>
      <c r="G272" s="2"/>
      <c r="H272" s="2"/>
      <c r="I272" s="2"/>
    </row>
    <row r="273" spans="4:9" x14ac:dyDescent="0.2">
      <c r="D273" s="1"/>
      <c r="E273" s="2"/>
      <c r="F273" s="3"/>
      <c r="G273" s="2"/>
      <c r="H273" s="2"/>
      <c r="I273" s="2"/>
    </row>
    <row r="274" spans="4:9" x14ac:dyDescent="0.2">
      <c r="D274" s="1"/>
      <c r="E274" s="2"/>
      <c r="F274" s="3"/>
      <c r="G274" s="2"/>
      <c r="H274" s="2"/>
      <c r="I274" s="2"/>
    </row>
    <row r="275" spans="4:9" x14ac:dyDescent="0.2">
      <c r="D275" s="1"/>
      <c r="E275" s="2"/>
      <c r="F275" s="3"/>
      <c r="G275" s="2"/>
      <c r="H275" s="2"/>
      <c r="I275" s="2"/>
    </row>
    <row r="276" spans="4:9" x14ac:dyDescent="0.2">
      <c r="D276" s="1"/>
      <c r="E276" s="2"/>
      <c r="F276" s="3"/>
      <c r="G276" s="2"/>
      <c r="H276" s="2"/>
      <c r="I276" s="2"/>
    </row>
    <row r="277" spans="4:9" x14ac:dyDescent="0.2">
      <c r="D277" s="1"/>
      <c r="E277" s="2"/>
      <c r="F277" s="3"/>
      <c r="G277" s="2"/>
      <c r="H277" s="2"/>
      <c r="I277" s="2"/>
    </row>
    <row r="278" spans="4:9" x14ac:dyDescent="0.2">
      <c r="D278" s="1"/>
      <c r="E278" s="2"/>
      <c r="F278" s="3"/>
      <c r="G278" s="2"/>
      <c r="H278" s="2"/>
      <c r="I278" s="2"/>
    </row>
    <row r="279" spans="4:9" x14ac:dyDescent="0.2">
      <c r="D279" s="1"/>
      <c r="E279" s="2"/>
      <c r="F279" s="3"/>
      <c r="G279" s="2"/>
      <c r="H279" s="2"/>
      <c r="I279" s="2"/>
    </row>
    <row r="280" spans="4:9" x14ac:dyDescent="0.2">
      <c r="D280" s="1"/>
      <c r="E280" s="2"/>
      <c r="F280" s="3"/>
      <c r="G280" s="2"/>
      <c r="H280" s="2"/>
      <c r="I280" s="2"/>
    </row>
    <row r="281" spans="4:9" x14ac:dyDescent="0.2">
      <c r="D281" s="1"/>
      <c r="E281" s="2"/>
      <c r="F281" s="3"/>
      <c r="G281" s="2"/>
      <c r="H281" s="2"/>
      <c r="I281" s="2"/>
    </row>
    <row r="282" spans="4:9" x14ac:dyDescent="0.2">
      <c r="D282" s="1"/>
      <c r="E282" s="2"/>
      <c r="F282" s="3"/>
      <c r="G282" s="2"/>
      <c r="H282" s="2"/>
      <c r="I282" s="2"/>
    </row>
    <row r="283" spans="4:9" x14ac:dyDescent="0.2">
      <c r="D283" s="1"/>
      <c r="E283" s="2"/>
      <c r="F283" s="3"/>
      <c r="G283" s="2"/>
      <c r="H283" s="2"/>
      <c r="I283" s="2"/>
    </row>
    <row r="284" spans="4:9" x14ac:dyDescent="0.2">
      <c r="D284" s="1"/>
      <c r="E284" s="2"/>
      <c r="F284" s="3"/>
      <c r="G284" s="2"/>
      <c r="H284" s="2"/>
      <c r="I284" s="2"/>
    </row>
    <row r="285" spans="4:9" x14ac:dyDescent="0.2">
      <c r="D285" s="1"/>
      <c r="E285" s="2"/>
      <c r="F285" s="3"/>
      <c r="G285" s="2"/>
      <c r="H285" s="2"/>
      <c r="I285" s="2"/>
    </row>
    <row r="286" spans="4:9" x14ac:dyDescent="0.2">
      <c r="D286" s="1"/>
      <c r="E286" s="2"/>
      <c r="F286" s="3"/>
      <c r="G286" s="2"/>
      <c r="H286" s="2"/>
      <c r="I286" s="2"/>
    </row>
    <row r="287" spans="4:9" x14ac:dyDescent="0.2">
      <c r="D287" s="1"/>
      <c r="E287" s="2"/>
      <c r="F287" s="3"/>
      <c r="G287" s="2"/>
      <c r="H287" s="2"/>
      <c r="I287" s="2"/>
    </row>
    <row r="288" spans="4:9" x14ac:dyDescent="0.2">
      <c r="D288" s="1"/>
      <c r="E288" s="2"/>
      <c r="F288" s="3"/>
      <c r="G288" s="2"/>
      <c r="H288" s="2"/>
      <c r="I288" s="2"/>
    </row>
    <row r="289" spans="4:9" x14ac:dyDescent="0.2">
      <c r="D289" s="1"/>
      <c r="E289" s="2"/>
      <c r="F289" s="3"/>
      <c r="G289" s="2"/>
      <c r="H289" s="2"/>
      <c r="I289" s="2"/>
    </row>
    <row r="290" spans="4:9" x14ac:dyDescent="0.2">
      <c r="D290" s="1"/>
      <c r="E290" s="2"/>
      <c r="F290" s="3"/>
      <c r="G290" s="2"/>
      <c r="H290" s="2"/>
      <c r="I290" s="2"/>
    </row>
    <row r="291" spans="4:9" x14ac:dyDescent="0.2">
      <c r="D291" s="1"/>
      <c r="E291" s="2"/>
      <c r="F291" s="3"/>
      <c r="G291" s="2"/>
      <c r="H291" s="2"/>
      <c r="I291" s="2"/>
    </row>
    <row r="292" spans="4:9" x14ac:dyDescent="0.2">
      <c r="D292" s="1"/>
      <c r="E292" s="2"/>
      <c r="F292" s="3"/>
      <c r="G292" s="2"/>
      <c r="H292" s="2"/>
      <c r="I292" s="2"/>
    </row>
    <row r="293" spans="4:9" x14ac:dyDescent="0.2">
      <c r="D293" s="1"/>
      <c r="E293" s="2"/>
      <c r="F293" s="3"/>
      <c r="G293" s="2"/>
      <c r="H293" s="2"/>
      <c r="I293" s="2"/>
    </row>
    <row r="294" spans="4:9" x14ac:dyDescent="0.2">
      <c r="D294" s="1"/>
      <c r="E294" s="2"/>
      <c r="F294" s="3"/>
      <c r="G294" s="2"/>
      <c r="H294" s="2"/>
      <c r="I294" s="2"/>
    </row>
    <row r="295" spans="4:9" x14ac:dyDescent="0.2">
      <c r="D295" s="1"/>
      <c r="E295" s="2"/>
      <c r="F295" s="3"/>
      <c r="G295" s="2"/>
      <c r="H295" s="2"/>
      <c r="I295" s="2"/>
    </row>
    <row r="296" spans="4:9" x14ac:dyDescent="0.2">
      <c r="D296" s="1"/>
      <c r="E296" s="2"/>
      <c r="F296" s="3"/>
      <c r="G296" s="2"/>
      <c r="H296" s="2"/>
      <c r="I296" s="2"/>
    </row>
    <row r="297" spans="4:9" x14ac:dyDescent="0.2">
      <c r="D297" s="1"/>
      <c r="E297" s="2"/>
      <c r="F297" s="3"/>
      <c r="G297" s="2"/>
      <c r="H297" s="2"/>
      <c r="I297" s="2"/>
    </row>
    <row r="298" spans="4:9" x14ac:dyDescent="0.2">
      <c r="D298" s="1"/>
      <c r="E298" s="2"/>
      <c r="F298" s="3"/>
      <c r="G298" s="2"/>
      <c r="H298" s="2"/>
      <c r="I298" s="2"/>
    </row>
    <row r="299" spans="4:9" x14ac:dyDescent="0.2">
      <c r="D299" s="1"/>
      <c r="E299" s="2"/>
      <c r="F299" s="3"/>
      <c r="G299" s="2"/>
      <c r="H299" s="2"/>
      <c r="I299" s="2"/>
    </row>
    <row r="300" spans="4:9" x14ac:dyDescent="0.2">
      <c r="D300" s="1"/>
      <c r="E300" s="2"/>
      <c r="F300" s="3"/>
      <c r="G300" s="2"/>
      <c r="H300" s="2"/>
      <c r="I300" s="2"/>
    </row>
    <row r="301" spans="4:9" x14ac:dyDescent="0.2">
      <c r="D301" s="1"/>
      <c r="E301" s="2"/>
      <c r="F301" s="3"/>
      <c r="G301" s="2"/>
      <c r="H301" s="2"/>
      <c r="I301" s="2"/>
    </row>
    <row r="302" spans="4:9" x14ac:dyDescent="0.2">
      <c r="D302" s="1"/>
      <c r="E302" s="2"/>
      <c r="F302" s="3"/>
      <c r="G302" s="2"/>
      <c r="H302" s="2"/>
      <c r="I302" s="2"/>
    </row>
    <row r="303" spans="4:9" x14ac:dyDescent="0.2">
      <c r="D303" s="1"/>
      <c r="E303" s="2"/>
      <c r="F303" s="3"/>
      <c r="G303" s="2"/>
      <c r="H303" s="2"/>
      <c r="I303" s="2"/>
    </row>
    <row r="304" spans="4:9" x14ac:dyDescent="0.2">
      <c r="D304" s="1"/>
      <c r="E304" s="2"/>
      <c r="F304" s="3"/>
      <c r="G304" s="2"/>
      <c r="H304" s="2"/>
      <c r="I304" s="2"/>
    </row>
    <row r="305" spans="4:9" x14ac:dyDescent="0.2">
      <c r="D305" s="1"/>
      <c r="E305" s="2"/>
      <c r="F305" s="3"/>
      <c r="G305" s="2"/>
      <c r="H305" s="2"/>
      <c r="I305" s="2"/>
    </row>
    <row r="306" spans="4:9" x14ac:dyDescent="0.2">
      <c r="D306" s="1"/>
      <c r="E306" s="2"/>
      <c r="F306" s="3"/>
      <c r="G306" s="2"/>
      <c r="H306" s="2"/>
      <c r="I306" s="2"/>
    </row>
    <row r="307" spans="4:9" x14ac:dyDescent="0.2">
      <c r="D307" s="1"/>
      <c r="E307" s="2"/>
      <c r="F307" s="3"/>
      <c r="G307" s="2"/>
      <c r="H307" s="2"/>
      <c r="I307" s="2"/>
    </row>
    <row r="308" spans="4:9" x14ac:dyDescent="0.2">
      <c r="D308" s="1"/>
      <c r="E308" s="2"/>
      <c r="F308" s="3"/>
      <c r="G308" s="2"/>
      <c r="H308" s="2"/>
      <c r="I308" s="2"/>
    </row>
    <row r="309" spans="4:9" x14ac:dyDescent="0.2">
      <c r="D309" s="1"/>
      <c r="E309" s="2"/>
      <c r="F309" s="3"/>
      <c r="G309" s="2"/>
      <c r="H309" s="2"/>
      <c r="I309" s="2"/>
    </row>
    <row r="310" spans="4:9" x14ac:dyDescent="0.2">
      <c r="D310" s="1"/>
      <c r="E310" s="2"/>
      <c r="F310" s="3"/>
      <c r="G310" s="2"/>
      <c r="H310" s="2"/>
      <c r="I310" s="2"/>
    </row>
    <row r="311" spans="4:9" x14ac:dyDescent="0.2">
      <c r="D311" s="1"/>
      <c r="E311" s="2"/>
      <c r="F311" s="3"/>
      <c r="G311" s="2"/>
      <c r="H311" s="2"/>
      <c r="I311" s="2"/>
    </row>
    <row r="312" spans="4:9" x14ac:dyDescent="0.2">
      <c r="D312" s="1"/>
      <c r="E312" s="2"/>
      <c r="F312" s="3"/>
      <c r="G312" s="2"/>
      <c r="H312" s="2"/>
      <c r="I312" s="2"/>
    </row>
    <row r="313" spans="4:9" x14ac:dyDescent="0.2">
      <c r="D313" s="1"/>
      <c r="E313" s="2"/>
      <c r="F313" s="3"/>
      <c r="G313" s="2"/>
      <c r="H313" s="2"/>
      <c r="I313" s="2"/>
    </row>
    <row r="314" spans="4:9" x14ac:dyDescent="0.2">
      <c r="D314" s="1"/>
      <c r="E314" s="2"/>
      <c r="F314" s="3"/>
      <c r="G314" s="2"/>
      <c r="H314" s="2"/>
      <c r="I314" s="2"/>
    </row>
    <row r="315" spans="4:9" x14ac:dyDescent="0.2">
      <c r="D315" s="1"/>
      <c r="E315" s="2"/>
      <c r="F315" s="3"/>
      <c r="G315" s="2"/>
      <c r="H315" s="2"/>
      <c r="I315" s="2"/>
    </row>
    <row r="316" spans="4:9" x14ac:dyDescent="0.2">
      <c r="D316" s="1"/>
      <c r="E316" s="2"/>
      <c r="F316" s="3"/>
      <c r="G316" s="2"/>
      <c r="H316" s="2"/>
      <c r="I316" s="2"/>
    </row>
    <row r="317" spans="4:9" x14ac:dyDescent="0.2">
      <c r="D317" s="1"/>
      <c r="E317" s="2"/>
      <c r="F317" s="3"/>
      <c r="G317" s="2"/>
      <c r="H317" s="2"/>
      <c r="I317" s="2"/>
    </row>
    <row r="318" spans="4:9" x14ac:dyDescent="0.2">
      <c r="D318" s="1"/>
      <c r="E318" s="2"/>
      <c r="F318" s="3"/>
      <c r="G318" s="2"/>
      <c r="H318" s="2"/>
      <c r="I318" s="2"/>
    </row>
    <row r="319" spans="4:9" x14ac:dyDescent="0.2">
      <c r="D319" s="1"/>
      <c r="E319" s="2"/>
      <c r="F319" s="3"/>
      <c r="G319" s="2"/>
      <c r="H319" s="2"/>
      <c r="I319" s="2"/>
    </row>
    <row r="320" spans="4:9" x14ac:dyDescent="0.2">
      <c r="D320" s="1"/>
      <c r="E320" s="2"/>
      <c r="F320" s="3"/>
      <c r="G320" s="2"/>
      <c r="H320" s="2"/>
      <c r="I320" s="2"/>
    </row>
    <row r="321" spans="4:9" x14ac:dyDescent="0.2">
      <c r="D321" s="1"/>
      <c r="E321" s="2"/>
      <c r="F321" s="3"/>
      <c r="G321" s="2"/>
      <c r="H321" s="2"/>
      <c r="I321" s="2"/>
    </row>
    <row r="322" spans="4:9" x14ac:dyDescent="0.2">
      <c r="D322" s="1"/>
      <c r="E322" s="2"/>
      <c r="F322" s="3"/>
      <c r="G322" s="2"/>
      <c r="H322" s="2"/>
      <c r="I322" s="2"/>
    </row>
    <row r="323" spans="4:9" x14ac:dyDescent="0.2">
      <c r="D323" s="1"/>
      <c r="E323" s="2"/>
      <c r="F323" s="3"/>
      <c r="G323" s="2"/>
      <c r="H323" s="2"/>
      <c r="I323" s="2"/>
    </row>
    <row r="324" spans="4:9" x14ac:dyDescent="0.2">
      <c r="D324" s="1"/>
      <c r="E324" s="2"/>
      <c r="F324" s="3"/>
      <c r="G324" s="2"/>
      <c r="H324" s="2"/>
      <c r="I324" s="2"/>
    </row>
    <row r="325" spans="4:9" x14ac:dyDescent="0.2">
      <c r="D325" s="1"/>
      <c r="E325" s="2"/>
      <c r="F325" s="3"/>
      <c r="G325" s="2"/>
      <c r="H325" s="2"/>
      <c r="I325" s="2"/>
    </row>
    <row r="326" spans="4:9" x14ac:dyDescent="0.2">
      <c r="D326" s="1"/>
      <c r="E326" s="2"/>
      <c r="F326" s="3"/>
      <c r="G326" s="2"/>
      <c r="H326" s="2"/>
      <c r="I326" s="2"/>
    </row>
    <row r="327" spans="4:9" x14ac:dyDescent="0.2">
      <c r="D327" s="1"/>
      <c r="E327" s="2"/>
      <c r="F327" s="3"/>
      <c r="G327" s="2"/>
      <c r="H327" s="2"/>
      <c r="I327" s="2"/>
    </row>
    <row r="328" spans="4:9" x14ac:dyDescent="0.2">
      <c r="D328" s="1"/>
      <c r="E328" s="2"/>
      <c r="F328" s="3"/>
      <c r="G328" s="2"/>
      <c r="H328" s="2"/>
      <c r="I328" s="2"/>
    </row>
    <row r="329" spans="4:9" x14ac:dyDescent="0.2">
      <c r="D329" s="1"/>
      <c r="E329" s="2"/>
      <c r="F329" s="3"/>
      <c r="G329" s="2"/>
      <c r="H329" s="2"/>
      <c r="I329" s="2"/>
    </row>
    <row r="330" spans="4:9" x14ac:dyDescent="0.2">
      <c r="D330" s="1"/>
      <c r="E330" s="2"/>
      <c r="F330" s="3"/>
      <c r="G330" s="2"/>
      <c r="H330" s="2"/>
      <c r="I330" s="2"/>
    </row>
    <row r="331" spans="4:9" x14ac:dyDescent="0.2">
      <c r="D331" s="1"/>
      <c r="E331" s="2"/>
      <c r="F331" s="3"/>
      <c r="G331" s="2"/>
      <c r="H331" s="2"/>
      <c r="I331" s="2"/>
    </row>
    <row r="332" spans="4:9" x14ac:dyDescent="0.2">
      <c r="D332" s="1"/>
      <c r="E332" s="2"/>
      <c r="F332" s="3"/>
      <c r="G332" s="2"/>
      <c r="H332" s="2"/>
      <c r="I332" s="2"/>
    </row>
    <row r="333" spans="4:9" x14ac:dyDescent="0.2">
      <c r="D333" s="1"/>
      <c r="E333" s="2"/>
      <c r="F333" s="3"/>
      <c r="G333" s="2"/>
      <c r="H333" s="2"/>
      <c r="I333" s="2"/>
    </row>
    <row r="334" spans="4:9" x14ac:dyDescent="0.2">
      <c r="D334" s="1"/>
      <c r="E334" s="2"/>
      <c r="F334" s="3"/>
      <c r="G334" s="2"/>
      <c r="H334" s="2"/>
      <c r="I334" s="2"/>
    </row>
    <row r="335" spans="4:9" x14ac:dyDescent="0.2">
      <c r="D335" s="1"/>
      <c r="E335" s="2"/>
      <c r="F335" s="3"/>
      <c r="G335" s="2"/>
      <c r="H335" s="2"/>
      <c r="I335" s="2"/>
    </row>
    <row r="336" spans="4:9" x14ac:dyDescent="0.2">
      <c r="D336" s="1"/>
      <c r="E336" s="2"/>
      <c r="F336" s="3"/>
      <c r="G336" s="2"/>
      <c r="H336" s="2"/>
      <c r="I336" s="2"/>
    </row>
    <row r="337" spans="4:9" x14ac:dyDescent="0.2">
      <c r="D337" s="1"/>
      <c r="E337" s="2"/>
      <c r="F337" s="3"/>
      <c r="G337" s="2"/>
      <c r="H337" s="2"/>
      <c r="I337" s="2"/>
    </row>
    <row r="338" spans="4:9" x14ac:dyDescent="0.2">
      <c r="D338" s="1"/>
      <c r="E338" s="2"/>
      <c r="F338" s="3"/>
      <c r="G338" s="2"/>
      <c r="H338" s="2"/>
      <c r="I338" s="2"/>
    </row>
    <row r="339" spans="4:9" x14ac:dyDescent="0.2">
      <c r="D339" s="1"/>
      <c r="E339" s="2"/>
      <c r="F339" s="3"/>
      <c r="G339" s="2"/>
      <c r="H339" s="2"/>
      <c r="I339" s="2"/>
    </row>
    <row r="340" spans="4:9" x14ac:dyDescent="0.2">
      <c r="D340" s="1"/>
      <c r="E340" s="2"/>
      <c r="F340" s="3"/>
      <c r="G340" s="2"/>
      <c r="H340" s="2"/>
      <c r="I340" s="2"/>
    </row>
    <row r="341" spans="4:9" x14ac:dyDescent="0.2">
      <c r="D341" s="1"/>
      <c r="E341" s="2"/>
      <c r="F341" s="3"/>
      <c r="G341" s="2"/>
      <c r="H341" s="2"/>
      <c r="I341" s="2"/>
    </row>
    <row r="342" spans="4:9" x14ac:dyDescent="0.2">
      <c r="D342" s="1"/>
      <c r="E342" s="2"/>
      <c r="F342" s="3"/>
      <c r="G342" s="2"/>
      <c r="H342" s="2"/>
      <c r="I342" s="2"/>
    </row>
    <row r="343" spans="4:9" x14ac:dyDescent="0.2">
      <c r="D343" s="1"/>
      <c r="E343" s="2"/>
      <c r="F343" s="3"/>
      <c r="G343" s="2"/>
      <c r="H343" s="2"/>
      <c r="I343" s="2"/>
    </row>
    <row r="344" spans="4:9" x14ac:dyDescent="0.2">
      <c r="D344" s="1"/>
      <c r="E344" s="2"/>
      <c r="F344" s="3"/>
      <c r="G344" s="2"/>
      <c r="H344" s="2"/>
      <c r="I344" s="2"/>
    </row>
    <row r="345" spans="4:9" x14ac:dyDescent="0.2">
      <c r="D345" s="1"/>
      <c r="E345" s="2"/>
      <c r="F345" s="3"/>
      <c r="G345" s="2"/>
      <c r="H345" s="2"/>
      <c r="I345" s="2"/>
    </row>
    <row r="346" spans="4:9" x14ac:dyDescent="0.2">
      <c r="D346" s="1"/>
      <c r="E346" s="2"/>
      <c r="F346" s="3"/>
      <c r="G346" s="2"/>
      <c r="H346" s="2"/>
      <c r="I346" s="2"/>
    </row>
    <row r="347" spans="4:9" x14ac:dyDescent="0.2">
      <c r="D347" s="1"/>
      <c r="E347" s="2"/>
      <c r="F347" s="3"/>
      <c r="G347" s="2"/>
      <c r="H347" s="2"/>
      <c r="I347" s="2"/>
    </row>
    <row r="348" spans="4:9" x14ac:dyDescent="0.2">
      <c r="D348" s="1"/>
      <c r="E348" s="2"/>
      <c r="F348" s="3"/>
      <c r="G348" s="2"/>
      <c r="H348" s="2"/>
      <c r="I348" s="2"/>
    </row>
    <row r="349" spans="4:9" x14ac:dyDescent="0.2">
      <c r="D349" s="1"/>
      <c r="E349" s="2"/>
      <c r="F349" s="3"/>
      <c r="G349" s="2"/>
      <c r="H349" s="2"/>
      <c r="I349" s="2"/>
    </row>
    <row r="350" spans="4:9" x14ac:dyDescent="0.2">
      <c r="D350" s="1"/>
      <c r="E350" s="2"/>
      <c r="F350" s="3"/>
      <c r="G350" s="2"/>
      <c r="H350" s="2"/>
      <c r="I350" s="2"/>
    </row>
    <row r="351" spans="4:9" x14ac:dyDescent="0.2">
      <c r="D351" s="1"/>
      <c r="E351" s="2"/>
      <c r="F351" s="3"/>
      <c r="G351" s="2"/>
      <c r="H351" s="2"/>
      <c r="I351" s="2"/>
    </row>
    <row r="352" spans="4:9" x14ac:dyDescent="0.2">
      <c r="D352" s="1"/>
      <c r="E352" s="2"/>
      <c r="F352" s="3"/>
      <c r="G352" s="2"/>
      <c r="H352" s="2"/>
      <c r="I352" s="2"/>
    </row>
    <row r="353" spans="4:9" x14ac:dyDescent="0.2">
      <c r="D353" s="1"/>
      <c r="E353" s="2"/>
      <c r="F353" s="3"/>
      <c r="G353" s="2"/>
      <c r="H353" s="2"/>
      <c r="I353" s="2"/>
    </row>
    <row r="354" spans="4:9" x14ac:dyDescent="0.2">
      <c r="D354" s="1"/>
      <c r="E354" s="2"/>
      <c r="F354" s="3"/>
      <c r="G354" s="2"/>
      <c r="H354" s="2"/>
      <c r="I354" s="2"/>
    </row>
    <row r="355" spans="4:9" x14ac:dyDescent="0.2">
      <c r="D355" s="1"/>
      <c r="E355" s="2"/>
      <c r="F355" s="3"/>
      <c r="G355" s="2"/>
      <c r="H355" s="2"/>
      <c r="I355" s="2"/>
    </row>
    <row r="356" spans="4:9" x14ac:dyDescent="0.2">
      <c r="D356" s="1"/>
      <c r="E356" s="2"/>
      <c r="F356" s="3"/>
      <c r="G356" s="2"/>
      <c r="H356" s="2"/>
      <c r="I356" s="2"/>
    </row>
    <row r="357" spans="4:9" x14ac:dyDescent="0.2">
      <c r="D357" s="1"/>
      <c r="E357" s="2"/>
      <c r="F357" s="3"/>
      <c r="G357" s="2"/>
      <c r="H357" s="2"/>
      <c r="I357" s="2"/>
    </row>
    <row r="358" spans="4:9" x14ac:dyDescent="0.2">
      <c r="D358" s="1"/>
      <c r="E358" s="2"/>
      <c r="F358" s="3"/>
      <c r="G358" s="2"/>
      <c r="H358" s="2"/>
      <c r="I358" s="2"/>
    </row>
    <row r="359" spans="4:9" x14ac:dyDescent="0.2">
      <c r="D359" s="1"/>
      <c r="E359" s="2"/>
      <c r="F359" s="3"/>
      <c r="G359" s="2"/>
      <c r="H359" s="2"/>
      <c r="I359" s="2"/>
    </row>
    <row r="360" spans="4:9" x14ac:dyDescent="0.2">
      <c r="D360" s="1"/>
      <c r="E360" s="2"/>
      <c r="F360" s="3"/>
      <c r="G360" s="2"/>
      <c r="H360" s="2"/>
      <c r="I360" s="2"/>
    </row>
    <row r="361" spans="4:9" x14ac:dyDescent="0.2">
      <c r="D361" s="1"/>
      <c r="E361" s="2"/>
      <c r="F361" s="3"/>
      <c r="G361" s="2"/>
      <c r="H361" s="2"/>
      <c r="I361" s="2"/>
    </row>
    <row r="362" spans="4:9" x14ac:dyDescent="0.2">
      <c r="D362" s="1"/>
      <c r="E362" s="2"/>
      <c r="F362" s="3"/>
      <c r="G362" s="2"/>
      <c r="H362" s="2"/>
      <c r="I362" s="2"/>
    </row>
    <row r="363" spans="4:9" x14ac:dyDescent="0.2">
      <c r="D363" s="1"/>
      <c r="E363" s="2"/>
      <c r="F363" s="3"/>
      <c r="G363" s="2"/>
      <c r="H363" s="2"/>
      <c r="I363" s="2"/>
    </row>
    <row r="364" spans="4:9" x14ac:dyDescent="0.2">
      <c r="D364" s="1"/>
      <c r="E364" s="2"/>
      <c r="F364" s="3"/>
      <c r="G364" s="2"/>
      <c r="H364" s="2"/>
      <c r="I364" s="2"/>
    </row>
    <row r="365" spans="4:9" x14ac:dyDescent="0.2">
      <c r="D365" s="1"/>
      <c r="E365" s="2"/>
      <c r="F365" s="3"/>
      <c r="G365" s="2"/>
      <c r="H365" s="2"/>
      <c r="I365" s="2"/>
    </row>
    <row r="366" spans="4:9" x14ac:dyDescent="0.2">
      <c r="D366" s="1"/>
      <c r="E366" s="2"/>
      <c r="F366" s="3"/>
      <c r="G366" s="2"/>
      <c r="H366" s="2"/>
      <c r="I366" s="2"/>
    </row>
    <row r="367" spans="4:9" x14ac:dyDescent="0.2">
      <c r="D367" s="1"/>
      <c r="E367" s="2"/>
      <c r="F367" s="3"/>
      <c r="G367" s="2"/>
      <c r="H367" s="2"/>
      <c r="I367" s="2"/>
    </row>
    <row r="368" spans="4:9" x14ac:dyDescent="0.2">
      <c r="D368" s="1"/>
      <c r="E368" s="2"/>
      <c r="F368" s="3"/>
      <c r="G368" s="2"/>
      <c r="H368" s="2"/>
      <c r="I368" s="2"/>
    </row>
    <row r="369" spans="4:9" x14ac:dyDescent="0.2">
      <c r="D369" s="1"/>
      <c r="E369" s="2"/>
      <c r="F369" s="3"/>
      <c r="G369" s="2"/>
      <c r="H369" s="2"/>
      <c r="I369" s="2"/>
    </row>
    <row r="370" spans="4:9" x14ac:dyDescent="0.2">
      <c r="D370" s="1"/>
      <c r="E370" s="2"/>
      <c r="F370" s="3"/>
      <c r="G370" s="2"/>
      <c r="H370" s="2"/>
      <c r="I370" s="2"/>
    </row>
    <row r="371" spans="4:9" x14ac:dyDescent="0.2">
      <c r="D371" s="1"/>
      <c r="E371" s="2"/>
      <c r="F371" s="3"/>
      <c r="G371" s="2"/>
      <c r="H371" s="2"/>
      <c r="I371" s="2"/>
    </row>
    <row r="372" spans="4:9" x14ac:dyDescent="0.2">
      <c r="D372" s="1"/>
      <c r="E372" s="2"/>
      <c r="F372" s="3"/>
      <c r="G372" s="2"/>
      <c r="H372" s="2"/>
      <c r="I372" s="2"/>
    </row>
    <row r="373" spans="4:9" x14ac:dyDescent="0.2">
      <c r="D373" s="1"/>
      <c r="E373" s="2"/>
      <c r="F373" s="3"/>
      <c r="G373" s="2"/>
      <c r="H373" s="2"/>
      <c r="I373" s="2"/>
    </row>
    <row r="374" spans="4:9" x14ac:dyDescent="0.2">
      <c r="D374" s="1"/>
      <c r="E374" s="2"/>
      <c r="F374" s="3"/>
      <c r="G374" s="2"/>
      <c r="H374" s="2"/>
      <c r="I374" s="2"/>
    </row>
    <row r="375" spans="4:9" x14ac:dyDescent="0.2">
      <c r="D375" s="1"/>
      <c r="E375" s="2"/>
      <c r="F375" s="3"/>
      <c r="G375" s="2"/>
      <c r="H375" s="2"/>
      <c r="I375" s="2"/>
    </row>
    <row r="376" spans="4:9" x14ac:dyDescent="0.2">
      <c r="D376" s="1"/>
      <c r="E376" s="2"/>
      <c r="F376" s="3"/>
      <c r="G376" s="2"/>
      <c r="H376" s="2"/>
      <c r="I376" s="2"/>
    </row>
    <row r="377" spans="4:9" x14ac:dyDescent="0.2">
      <c r="D377" s="1"/>
      <c r="E377" s="2"/>
      <c r="F377" s="3"/>
      <c r="G377" s="2"/>
      <c r="H377" s="2"/>
      <c r="I377" s="2"/>
    </row>
    <row r="378" spans="4:9" x14ac:dyDescent="0.2">
      <c r="D378" s="1"/>
      <c r="E378" s="2"/>
      <c r="F378" s="3"/>
      <c r="G378" s="2"/>
      <c r="H378" s="2"/>
      <c r="I378" s="2"/>
    </row>
    <row r="379" spans="4:9" x14ac:dyDescent="0.2">
      <c r="D379" s="1"/>
      <c r="E379" s="2"/>
      <c r="F379" s="3"/>
      <c r="G379" s="2"/>
      <c r="H379" s="2"/>
      <c r="I379" s="2"/>
    </row>
    <row r="380" spans="4:9" x14ac:dyDescent="0.2">
      <c r="D380" s="1"/>
      <c r="E380" s="2"/>
      <c r="F380" s="3"/>
      <c r="G380" s="2"/>
      <c r="H380" s="2"/>
      <c r="I380" s="2"/>
    </row>
    <row r="381" spans="4:9" x14ac:dyDescent="0.2">
      <c r="D381" s="1"/>
      <c r="E381" s="2"/>
      <c r="F381" s="3"/>
      <c r="G381" s="2"/>
      <c r="H381" s="2"/>
      <c r="I381" s="2"/>
    </row>
    <row r="382" spans="4:9" x14ac:dyDescent="0.2">
      <c r="D382" s="1"/>
      <c r="E382" s="2"/>
      <c r="F382" s="3"/>
      <c r="G382" s="2"/>
      <c r="H382" s="2"/>
      <c r="I382" s="2"/>
    </row>
    <row r="383" spans="4:9" x14ac:dyDescent="0.2">
      <c r="D383" s="1"/>
      <c r="E383" s="2"/>
      <c r="F383" s="3"/>
      <c r="G383" s="2"/>
      <c r="H383" s="2"/>
      <c r="I383" s="2"/>
    </row>
    <row r="384" spans="4:9" x14ac:dyDescent="0.2">
      <c r="D384" s="1"/>
      <c r="E384" s="2"/>
      <c r="F384" s="3"/>
      <c r="G384" s="2"/>
      <c r="H384" s="2"/>
      <c r="I384" s="2"/>
    </row>
    <row r="385" spans="4:9" x14ac:dyDescent="0.2">
      <c r="D385" s="1"/>
      <c r="E385" s="2"/>
      <c r="F385" s="3"/>
      <c r="G385" s="2"/>
      <c r="H385" s="2"/>
      <c r="I385" s="2"/>
    </row>
    <row r="386" spans="4:9" x14ac:dyDescent="0.2">
      <c r="D386" s="1"/>
      <c r="E386" s="2"/>
      <c r="F386" s="3"/>
      <c r="G386" s="2"/>
      <c r="H386" s="2"/>
      <c r="I386" s="2"/>
    </row>
    <row r="387" spans="4:9" x14ac:dyDescent="0.2">
      <c r="D387" s="1"/>
      <c r="E387" s="2"/>
      <c r="F387" s="3"/>
      <c r="G387" s="2"/>
      <c r="H387" s="2"/>
      <c r="I387" s="2"/>
    </row>
    <row r="388" spans="4:9" x14ac:dyDescent="0.2">
      <c r="D388" s="1"/>
      <c r="E388" s="2"/>
      <c r="F388" s="3"/>
      <c r="G388" s="2"/>
      <c r="H388" s="2"/>
      <c r="I388" s="2"/>
    </row>
    <row r="389" spans="4:9" x14ac:dyDescent="0.2">
      <c r="D389" s="1"/>
      <c r="E389" s="2"/>
      <c r="F389" s="3"/>
      <c r="G389" s="2"/>
      <c r="H389" s="2"/>
      <c r="I389" s="2"/>
    </row>
    <row r="390" spans="4:9" x14ac:dyDescent="0.2">
      <c r="D390" s="1"/>
      <c r="E390" s="2"/>
      <c r="F390" s="3"/>
      <c r="G390" s="2"/>
      <c r="H390" s="2"/>
      <c r="I390" s="2"/>
    </row>
    <row r="391" spans="4:9" x14ac:dyDescent="0.2">
      <c r="D391" s="1"/>
      <c r="E391" s="2"/>
      <c r="F391" s="3"/>
      <c r="G391" s="2"/>
      <c r="H391" s="2"/>
      <c r="I391" s="2"/>
    </row>
    <row r="392" spans="4:9" x14ac:dyDescent="0.2">
      <c r="D392" s="1"/>
      <c r="E392" s="2"/>
      <c r="F392" s="3"/>
      <c r="G392" s="2"/>
      <c r="H392" s="2"/>
      <c r="I392" s="2"/>
    </row>
    <row r="393" spans="4:9" x14ac:dyDescent="0.2">
      <c r="D393" s="1"/>
      <c r="E393" s="2"/>
      <c r="F393" s="3"/>
      <c r="G393" s="2"/>
      <c r="H393" s="2"/>
      <c r="I393" s="2"/>
    </row>
    <row r="394" spans="4:9" x14ac:dyDescent="0.2">
      <c r="D394" s="1"/>
      <c r="E394" s="2"/>
      <c r="F394" s="3"/>
      <c r="G394" s="2"/>
      <c r="H394" s="2"/>
      <c r="I394" s="2"/>
    </row>
    <row r="395" spans="4:9" x14ac:dyDescent="0.2">
      <c r="D395" s="1"/>
      <c r="E395" s="2"/>
      <c r="F395" s="3"/>
      <c r="G395" s="2"/>
      <c r="H395" s="2"/>
      <c r="I395" s="2"/>
    </row>
    <row r="396" spans="4:9" x14ac:dyDescent="0.2">
      <c r="D396" s="1"/>
      <c r="E396" s="2"/>
      <c r="F396" s="3"/>
      <c r="G396" s="2"/>
      <c r="H396" s="2"/>
      <c r="I396" s="2"/>
    </row>
    <row r="397" spans="4:9" x14ac:dyDescent="0.2">
      <c r="D397" s="1"/>
      <c r="E397" s="2"/>
      <c r="F397" s="3"/>
      <c r="G397" s="2"/>
      <c r="H397" s="2"/>
      <c r="I397" s="2"/>
    </row>
    <row r="398" spans="4:9" x14ac:dyDescent="0.2">
      <c r="D398" s="1"/>
      <c r="E398" s="2"/>
      <c r="F398" s="3"/>
      <c r="G398" s="2"/>
      <c r="H398" s="2"/>
      <c r="I398" s="2"/>
    </row>
    <row r="399" spans="4:9" x14ac:dyDescent="0.2">
      <c r="D399" s="1"/>
      <c r="E399" s="2"/>
      <c r="F399" s="3"/>
      <c r="G399" s="2"/>
      <c r="H399" s="2"/>
      <c r="I399" s="2"/>
    </row>
    <row r="400" spans="4:9" x14ac:dyDescent="0.2">
      <c r="D400" s="1"/>
      <c r="E400" s="2"/>
      <c r="F400" s="3"/>
      <c r="G400" s="2"/>
      <c r="H400" s="2"/>
      <c r="I400" s="2"/>
    </row>
    <row r="401" spans="4:9" x14ac:dyDescent="0.2">
      <c r="D401" s="1"/>
      <c r="E401" s="2"/>
      <c r="F401" s="3"/>
      <c r="G401" s="2"/>
      <c r="H401" s="2"/>
      <c r="I401" s="2"/>
    </row>
    <row r="402" spans="4:9" x14ac:dyDescent="0.2">
      <c r="D402" s="1"/>
      <c r="E402" s="2"/>
      <c r="F402" s="3"/>
      <c r="G402" s="2"/>
      <c r="H402" s="2"/>
      <c r="I402" s="2"/>
    </row>
    <row r="403" spans="4:9" x14ac:dyDescent="0.2">
      <c r="D403" s="1"/>
      <c r="E403" s="2"/>
      <c r="F403" s="3"/>
      <c r="G403" s="2"/>
      <c r="H403" s="2"/>
      <c r="I403" s="2"/>
    </row>
    <row r="404" spans="4:9" x14ac:dyDescent="0.2">
      <c r="D404" s="1"/>
      <c r="E404" s="2"/>
      <c r="F404" s="3"/>
      <c r="G404" s="2"/>
      <c r="H404" s="2"/>
      <c r="I404" s="2"/>
    </row>
    <row r="405" spans="4:9" x14ac:dyDescent="0.2">
      <c r="D405" s="1"/>
      <c r="E405" s="2"/>
      <c r="F405" s="3"/>
      <c r="G405" s="2"/>
      <c r="H405" s="2"/>
      <c r="I405" s="2"/>
    </row>
    <row r="406" spans="4:9" x14ac:dyDescent="0.2">
      <c r="D406" s="1"/>
      <c r="E406" s="2"/>
      <c r="F406" s="3"/>
      <c r="G406" s="2"/>
      <c r="H406" s="2"/>
      <c r="I406" s="2"/>
    </row>
    <row r="407" spans="4:9" x14ac:dyDescent="0.2">
      <c r="D407" s="1"/>
      <c r="E407" s="2"/>
      <c r="F407" s="3"/>
      <c r="G407" s="2"/>
      <c r="H407" s="2"/>
      <c r="I407" s="2"/>
    </row>
    <row r="408" spans="4:9" x14ac:dyDescent="0.2">
      <c r="D408" s="1"/>
      <c r="E408" s="2"/>
      <c r="F408" s="3"/>
      <c r="G408" s="2"/>
      <c r="H408" s="2"/>
      <c r="I408" s="2"/>
    </row>
    <row r="409" spans="4:9" x14ac:dyDescent="0.2">
      <c r="D409" s="1"/>
      <c r="E409" s="2"/>
      <c r="F409" s="3"/>
      <c r="G409" s="2"/>
      <c r="H409" s="2"/>
      <c r="I409" s="2"/>
    </row>
    <row r="410" spans="4:9" x14ac:dyDescent="0.2">
      <c r="D410" s="1"/>
      <c r="E410" s="2"/>
      <c r="F410" s="3"/>
      <c r="G410" s="2"/>
      <c r="H410" s="2"/>
      <c r="I410" s="2"/>
    </row>
    <row r="411" spans="4:9" x14ac:dyDescent="0.2">
      <c r="D411" s="1"/>
      <c r="E411" s="2"/>
      <c r="F411" s="3"/>
      <c r="G411" s="2"/>
      <c r="H411" s="2"/>
      <c r="I411" s="2"/>
    </row>
    <row r="412" spans="4:9" x14ac:dyDescent="0.2">
      <c r="D412" s="1"/>
      <c r="E412" s="2"/>
      <c r="F412" s="3"/>
      <c r="G412" s="2"/>
      <c r="H412" s="2"/>
      <c r="I412" s="2"/>
    </row>
    <row r="413" spans="4:9" x14ac:dyDescent="0.2">
      <c r="D413" s="1"/>
      <c r="E413" s="2"/>
      <c r="F413" s="3"/>
      <c r="G413" s="2"/>
      <c r="H413" s="2"/>
      <c r="I413" s="2"/>
    </row>
    <row r="414" spans="4:9" x14ac:dyDescent="0.2">
      <c r="D414" s="1"/>
      <c r="E414" s="2"/>
      <c r="F414" s="3"/>
      <c r="G414" s="2"/>
      <c r="H414" s="2"/>
      <c r="I414" s="2"/>
    </row>
    <row r="415" spans="4:9" x14ac:dyDescent="0.2">
      <c r="D415" s="1"/>
      <c r="E415" s="2"/>
      <c r="F415" s="3"/>
      <c r="G415" s="2"/>
      <c r="H415" s="2"/>
      <c r="I415" s="2"/>
    </row>
    <row r="416" spans="4:9" x14ac:dyDescent="0.2">
      <c r="D416" s="1"/>
      <c r="E416" s="2"/>
      <c r="F416" s="3"/>
      <c r="G416" s="2"/>
      <c r="H416" s="2"/>
      <c r="I416" s="2"/>
    </row>
    <row r="417" spans="4:9" x14ac:dyDescent="0.2">
      <c r="D417" s="1"/>
      <c r="E417" s="2"/>
      <c r="F417" s="3"/>
      <c r="G417" s="2"/>
      <c r="H417" s="2"/>
      <c r="I417" s="2"/>
    </row>
    <row r="418" spans="4:9" x14ac:dyDescent="0.2">
      <c r="D418" s="1"/>
      <c r="E418" s="2"/>
      <c r="F418" s="3"/>
      <c r="G418" s="2"/>
      <c r="H418" s="2"/>
      <c r="I418" s="2"/>
    </row>
    <row r="419" spans="4:9" x14ac:dyDescent="0.2">
      <c r="D419" s="1"/>
      <c r="E419" s="2"/>
      <c r="F419" s="3"/>
      <c r="G419" s="2"/>
      <c r="H419" s="2"/>
      <c r="I419" s="2"/>
    </row>
    <row r="420" spans="4:9" x14ac:dyDescent="0.2">
      <c r="D420" s="1"/>
      <c r="E420" s="2"/>
      <c r="F420" s="3"/>
      <c r="G420" s="2"/>
      <c r="H420" s="2"/>
      <c r="I420" s="2"/>
    </row>
    <row r="421" spans="4:9" x14ac:dyDescent="0.2">
      <c r="D421" s="1"/>
      <c r="E421" s="2"/>
      <c r="F421" s="3"/>
      <c r="G421" s="2"/>
      <c r="H421" s="2"/>
      <c r="I421" s="2"/>
    </row>
    <row r="422" spans="4:9" x14ac:dyDescent="0.2">
      <c r="D422" s="1"/>
      <c r="E422" s="2"/>
      <c r="F422" s="3"/>
      <c r="G422" s="2"/>
      <c r="H422" s="2"/>
      <c r="I422" s="2"/>
    </row>
    <row r="423" spans="4:9" x14ac:dyDescent="0.2">
      <c r="D423" s="1"/>
      <c r="E423" s="2"/>
      <c r="F423" s="3"/>
      <c r="G423" s="2"/>
      <c r="H423" s="2"/>
      <c r="I423" s="2"/>
    </row>
    <row r="424" spans="4:9" x14ac:dyDescent="0.2">
      <c r="D424" s="1"/>
      <c r="E424" s="2"/>
      <c r="F424" s="3"/>
      <c r="G424" s="2"/>
      <c r="H424" s="2"/>
      <c r="I424" s="2"/>
    </row>
    <row r="425" spans="4:9" x14ac:dyDescent="0.2">
      <c r="D425" s="1"/>
      <c r="E425" s="2"/>
      <c r="F425" s="3"/>
      <c r="G425" s="2"/>
      <c r="H425" s="2"/>
      <c r="I425" s="2"/>
    </row>
    <row r="426" spans="4:9" x14ac:dyDescent="0.2">
      <c r="D426" s="1"/>
      <c r="E426" s="2"/>
      <c r="F426" s="3"/>
      <c r="G426" s="2"/>
      <c r="H426" s="2"/>
      <c r="I426" s="2"/>
    </row>
    <row r="427" spans="4:9" x14ac:dyDescent="0.2">
      <c r="D427" s="1"/>
      <c r="E427" s="2"/>
      <c r="F427" s="3"/>
      <c r="G427" s="2"/>
      <c r="H427" s="2"/>
      <c r="I427" s="2"/>
    </row>
    <row r="428" spans="4:9" x14ac:dyDescent="0.2">
      <c r="D428" s="1"/>
      <c r="E428" s="2"/>
      <c r="F428" s="3"/>
      <c r="G428" s="2"/>
      <c r="H428" s="2"/>
      <c r="I428" s="2"/>
    </row>
    <row r="429" spans="4:9" x14ac:dyDescent="0.2">
      <c r="D429" s="1"/>
      <c r="E429" s="2"/>
      <c r="F429" s="3"/>
      <c r="G429" s="2"/>
      <c r="H429" s="2"/>
      <c r="I429" s="2"/>
    </row>
    <row r="430" spans="4:9" x14ac:dyDescent="0.2">
      <c r="D430" s="1"/>
      <c r="E430" s="2"/>
      <c r="F430" s="3"/>
      <c r="G430" s="2"/>
      <c r="H430" s="2"/>
      <c r="I430" s="2"/>
    </row>
    <row r="431" spans="4:9" x14ac:dyDescent="0.2">
      <c r="D431" s="1"/>
      <c r="E431" s="2"/>
      <c r="F431" s="3"/>
      <c r="G431" s="2"/>
      <c r="H431" s="2"/>
      <c r="I431" s="2"/>
    </row>
    <row r="432" spans="4:9" x14ac:dyDescent="0.2">
      <c r="D432" s="1"/>
      <c r="E432" s="2"/>
      <c r="F432" s="3"/>
      <c r="G432" s="2"/>
      <c r="H432" s="2"/>
      <c r="I432" s="2"/>
    </row>
    <row r="433" spans="4:9" x14ac:dyDescent="0.2">
      <c r="D433" s="1"/>
      <c r="E433" s="2"/>
      <c r="F433" s="3"/>
      <c r="G433" s="2"/>
      <c r="H433" s="2"/>
      <c r="I433" s="2"/>
    </row>
    <row r="434" spans="4:9" x14ac:dyDescent="0.2">
      <c r="D434" s="1"/>
      <c r="E434" s="2"/>
      <c r="F434" s="3"/>
      <c r="G434" s="2"/>
      <c r="H434" s="2"/>
      <c r="I434" s="2"/>
    </row>
    <row r="435" spans="4:9" x14ac:dyDescent="0.2">
      <c r="D435" s="1"/>
      <c r="E435" s="2"/>
      <c r="F435" s="3"/>
      <c r="G435" s="2"/>
      <c r="H435" s="2"/>
      <c r="I435" s="2"/>
    </row>
    <row r="436" spans="4:9" x14ac:dyDescent="0.2">
      <c r="D436" s="1"/>
      <c r="E436" s="2"/>
      <c r="F436" s="3"/>
      <c r="G436" s="2"/>
      <c r="H436" s="2"/>
      <c r="I436" s="2"/>
    </row>
    <row r="437" spans="4:9" x14ac:dyDescent="0.2">
      <c r="D437" s="1"/>
      <c r="E437" s="2"/>
      <c r="F437" s="3"/>
      <c r="G437" s="2"/>
      <c r="H437" s="2"/>
      <c r="I437" s="2"/>
    </row>
    <row r="438" spans="4:9" x14ac:dyDescent="0.2">
      <c r="D438" s="1"/>
      <c r="E438" s="2"/>
      <c r="F438" s="3"/>
      <c r="G438" s="2"/>
      <c r="H438" s="2"/>
      <c r="I438" s="2"/>
    </row>
    <row r="439" spans="4:9" x14ac:dyDescent="0.2">
      <c r="D439" s="1"/>
      <c r="E439" s="2"/>
      <c r="F439" s="3"/>
      <c r="G439" s="2"/>
      <c r="H439" s="2"/>
      <c r="I439" s="2"/>
    </row>
    <row r="440" spans="4:9" x14ac:dyDescent="0.2">
      <c r="D440" s="1"/>
      <c r="E440" s="2"/>
      <c r="F440" s="3"/>
      <c r="G440" s="2"/>
      <c r="H440" s="2"/>
      <c r="I440" s="2"/>
    </row>
    <row r="441" spans="4:9" x14ac:dyDescent="0.2">
      <c r="D441" s="1"/>
      <c r="E441" s="2"/>
      <c r="F441" s="3"/>
      <c r="G441" s="2"/>
      <c r="H441" s="2"/>
      <c r="I441" s="2"/>
    </row>
    <row r="442" spans="4:9" x14ac:dyDescent="0.2">
      <c r="D442" s="1"/>
      <c r="E442" s="2"/>
      <c r="F442" s="3"/>
      <c r="G442" s="2"/>
      <c r="H442" s="2"/>
      <c r="I442" s="2"/>
    </row>
    <row r="443" spans="4:9" x14ac:dyDescent="0.2">
      <c r="D443" s="1"/>
      <c r="E443" s="2"/>
      <c r="F443" s="3"/>
      <c r="G443" s="2"/>
      <c r="H443" s="2"/>
      <c r="I443" s="2"/>
    </row>
    <row r="444" spans="4:9" x14ac:dyDescent="0.2">
      <c r="D444" s="1"/>
      <c r="E444" s="2"/>
      <c r="F444" s="3"/>
      <c r="G444" s="2"/>
      <c r="H444" s="2"/>
      <c r="I444" s="2"/>
    </row>
    <row r="445" spans="4:9" x14ac:dyDescent="0.2">
      <c r="D445" s="1"/>
      <c r="E445" s="2"/>
      <c r="F445" s="3"/>
      <c r="G445" s="2"/>
      <c r="H445" s="2"/>
      <c r="I445" s="2"/>
    </row>
    <row r="446" spans="4:9" x14ac:dyDescent="0.2">
      <c r="D446" s="1"/>
      <c r="E446" s="2"/>
      <c r="F446" s="3"/>
      <c r="G446" s="2"/>
      <c r="H446" s="2"/>
      <c r="I446" s="2"/>
    </row>
    <row r="447" spans="4:9" x14ac:dyDescent="0.2">
      <c r="D447" s="1"/>
      <c r="E447" s="2"/>
      <c r="F447" s="3"/>
      <c r="G447" s="2"/>
      <c r="H447" s="2"/>
      <c r="I447" s="2"/>
    </row>
    <row r="448" spans="4:9" x14ac:dyDescent="0.2">
      <c r="D448" s="1"/>
      <c r="E448" s="2"/>
      <c r="F448" s="3"/>
      <c r="G448" s="2"/>
      <c r="H448" s="2"/>
      <c r="I448" s="2"/>
    </row>
    <row r="449" spans="4:9" x14ac:dyDescent="0.2">
      <c r="D449" s="1"/>
      <c r="E449" s="2"/>
      <c r="F449" s="3"/>
      <c r="G449" s="2"/>
      <c r="H449" s="2"/>
      <c r="I449" s="2"/>
    </row>
    <row r="450" spans="4:9" x14ac:dyDescent="0.2">
      <c r="D450" s="1"/>
      <c r="E450" s="2"/>
      <c r="F450" s="3"/>
      <c r="G450" s="2"/>
      <c r="H450" s="2"/>
      <c r="I450" s="2"/>
    </row>
    <row r="451" spans="4:9" x14ac:dyDescent="0.2">
      <c r="D451" s="1"/>
      <c r="E451" s="2"/>
      <c r="F451" s="3"/>
      <c r="G451" s="2"/>
      <c r="H451" s="2"/>
      <c r="I451" s="2"/>
    </row>
    <row r="452" spans="4:9" x14ac:dyDescent="0.2">
      <c r="D452" s="1"/>
      <c r="E452" s="2"/>
      <c r="F452" s="3"/>
      <c r="G452" s="2"/>
      <c r="H452" s="2"/>
      <c r="I452" s="2"/>
    </row>
    <row r="453" spans="4:9" x14ac:dyDescent="0.2">
      <c r="D453" s="1"/>
      <c r="E453" s="2"/>
      <c r="F453" s="3"/>
      <c r="G453" s="2"/>
      <c r="H453" s="2"/>
      <c r="I453" s="2"/>
    </row>
    <row r="454" spans="4:9" x14ac:dyDescent="0.2">
      <c r="D454" s="1"/>
      <c r="E454" s="2"/>
      <c r="F454" s="3"/>
      <c r="G454" s="2"/>
      <c r="H454" s="2"/>
      <c r="I454" s="2"/>
    </row>
    <row r="455" spans="4:9" x14ac:dyDescent="0.2">
      <c r="D455" s="1"/>
      <c r="E455" s="2"/>
      <c r="F455" s="3"/>
      <c r="G455" s="2"/>
      <c r="H455" s="2"/>
      <c r="I455" s="2"/>
    </row>
    <row r="456" spans="4:9" x14ac:dyDescent="0.2">
      <c r="D456" s="1"/>
      <c r="E456" s="2"/>
      <c r="F456" s="3"/>
      <c r="G456" s="2"/>
      <c r="H456" s="2"/>
      <c r="I456" s="2"/>
    </row>
    <row r="457" spans="4:9" x14ac:dyDescent="0.2">
      <c r="D457" s="1"/>
      <c r="E457" s="2"/>
      <c r="F457" s="3"/>
      <c r="G457" s="2"/>
      <c r="H457" s="2"/>
      <c r="I457" s="2"/>
    </row>
    <row r="458" spans="4:9" x14ac:dyDescent="0.2">
      <c r="D458" s="1"/>
      <c r="E458" s="2"/>
      <c r="F458" s="3"/>
      <c r="G458" s="2"/>
      <c r="H458" s="2"/>
      <c r="I458" s="2"/>
    </row>
    <row r="459" spans="4:9" x14ac:dyDescent="0.2">
      <c r="D459" s="1"/>
      <c r="E459" s="2"/>
      <c r="F459" s="3"/>
      <c r="G459" s="2"/>
      <c r="H459" s="2"/>
      <c r="I459" s="2"/>
    </row>
    <row r="460" spans="4:9" x14ac:dyDescent="0.2">
      <c r="D460" s="1"/>
      <c r="E460" s="2"/>
      <c r="F460" s="3"/>
      <c r="G460" s="2"/>
      <c r="H460" s="2"/>
      <c r="I460" s="2"/>
    </row>
    <row r="461" spans="4:9" x14ac:dyDescent="0.2">
      <c r="D461" s="1"/>
      <c r="E461" s="2"/>
      <c r="F461" s="3"/>
      <c r="G461" s="2"/>
      <c r="H461" s="2"/>
      <c r="I461" s="2"/>
    </row>
    <row r="462" spans="4:9" x14ac:dyDescent="0.2">
      <c r="D462" s="1"/>
      <c r="E462" s="2"/>
      <c r="F462" s="3"/>
      <c r="G462" s="2"/>
      <c r="H462" s="2"/>
      <c r="I462" s="2"/>
    </row>
    <row r="463" spans="4:9" x14ac:dyDescent="0.2">
      <c r="D463" s="1"/>
      <c r="E463" s="2"/>
      <c r="F463" s="3"/>
      <c r="G463" s="2"/>
      <c r="H463" s="2"/>
      <c r="I463" s="2"/>
    </row>
    <row r="464" spans="4:9" x14ac:dyDescent="0.2">
      <c r="D464" s="1"/>
      <c r="E464" s="2"/>
      <c r="F464" s="3"/>
      <c r="G464" s="2"/>
      <c r="H464" s="2"/>
      <c r="I464" s="2"/>
    </row>
    <row r="465" spans="4:9" x14ac:dyDescent="0.2">
      <c r="D465" s="1"/>
      <c r="E465" s="2"/>
      <c r="F465" s="3"/>
      <c r="G465" s="2"/>
      <c r="H465" s="2"/>
      <c r="I465" s="2"/>
    </row>
    <row r="466" spans="4:9" x14ac:dyDescent="0.2">
      <c r="D466" s="1"/>
      <c r="E466" s="2"/>
      <c r="F466" s="3"/>
      <c r="G466" s="2"/>
      <c r="H466" s="2"/>
      <c r="I466" s="2"/>
    </row>
    <row r="467" spans="4:9" x14ac:dyDescent="0.2">
      <c r="D467" s="1"/>
      <c r="E467" s="2"/>
      <c r="F467" s="3"/>
      <c r="G467" s="2"/>
      <c r="H467" s="2"/>
      <c r="I467" s="2"/>
    </row>
    <row r="468" spans="4:9" x14ac:dyDescent="0.2">
      <c r="D468" s="1"/>
      <c r="E468" s="2"/>
      <c r="F468" s="3"/>
      <c r="G468" s="2"/>
      <c r="H468" s="2"/>
      <c r="I468" s="2"/>
    </row>
    <row r="469" spans="4:9" x14ac:dyDescent="0.2">
      <c r="D469" s="1"/>
      <c r="E469" s="2"/>
      <c r="F469" s="3"/>
      <c r="G469" s="2"/>
      <c r="H469" s="2"/>
      <c r="I469" s="2"/>
    </row>
    <row r="470" spans="4:9" x14ac:dyDescent="0.2">
      <c r="D470" s="1"/>
      <c r="E470" s="2"/>
      <c r="F470" s="3"/>
      <c r="G470" s="2"/>
      <c r="H470" s="2"/>
      <c r="I470" s="2"/>
    </row>
    <row r="471" spans="4:9" x14ac:dyDescent="0.2">
      <c r="D471" s="1"/>
      <c r="E471" s="2"/>
      <c r="F471" s="3"/>
      <c r="G471" s="2"/>
      <c r="H471" s="2"/>
      <c r="I471" s="2"/>
    </row>
    <row r="472" spans="4:9" x14ac:dyDescent="0.2">
      <c r="D472" s="1"/>
      <c r="E472" s="2"/>
      <c r="F472" s="3"/>
      <c r="G472" s="2"/>
      <c r="H472" s="2"/>
      <c r="I472" s="2"/>
    </row>
    <row r="473" spans="4:9" x14ac:dyDescent="0.2">
      <c r="D473" s="1"/>
      <c r="E473" s="2"/>
      <c r="F473" s="3"/>
      <c r="G473" s="2"/>
      <c r="H473" s="2"/>
      <c r="I473" s="2"/>
    </row>
    <row r="474" spans="4:9" x14ac:dyDescent="0.2">
      <c r="D474" s="1"/>
      <c r="E474" s="2"/>
      <c r="F474" s="3"/>
      <c r="G474" s="2"/>
      <c r="H474" s="2"/>
      <c r="I474" s="2"/>
    </row>
    <row r="475" spans="4:9" x14ac:dyDescent="0.2">
      <c r="D475" s="1"/>
      <c r="E475" s="2"/>
      <c r="F475" s="3"/>
      <c r="G475" s="2"/>
      <c r="H475" s="2"/>
      <c r="I475" s="2"/>
    </row>
    <row r="476" spans="4:9" x14ac:dyDescent="0.2">
      <c r="D476" s="1"/>
      <c r="E476" s="2"/>
      <c r="F476" s="3"/>
      <c r="G476" s="2"/>
      <c r="H476" s="2"/>
      <c r="I476" s="2"/>
    </row>
    <row r="477" spans="4:9" x14ac:dyDescent="0.2">
      <c r="D477" s="1"/>
      <c r="E477" s="2"/>
      <c r="F477" s="3"/>
      <c r="G477" s="2"/>
      <c r="H477" s="2"/>
      <c r="I477" s="2"/>
    </row>
    <row r="478" spans="4:9" x14ac:dyDescent="0.2">
      <c r="D478" s="1"/>
      <c r="E478" s="2"/>
      <c r="F478" s="3"/>
      <c r="G478" s="2"/>
      <c r="H478" s="2"/>
      <c r="I478" s="2"/>
    </row>
    <row r="479" spans="4:9" x14ac:dyDescent="0.2">
      <c r="D479" s="1"/>
      <c r="E479" s="2"/>
      <c r="F479" s="3"/>
      <c r="G479" s="2"/>
      <c r="H479" s="2"/>
      <c r="I479" s="2"/>
    </row>
    <row r="480" spans="4:9" x14ac:dyDescent="0.2">
      <c r="D480" s="1"/>
      <c r="E480" s="2"/>
      <c r="F480" s="3"/>
      <c r="G480" s="2"/>
      <c r="H480" s="2"/>
      <c r="I480" s="2"/>
    </row>
    <row r="481" spans="4:9" x14ac:dyDescent="0.2">
      <c r="D481" s="1"/>
      <c r="E481" s="2"/>
      <c r="F481" s="3"/>
      <c r="G481" s="2"/>
      <c r="H481" s="2"/>
      <c r="I481" s="2"/>
    </row>
    <row r="482" spans="4:9" x14ac:dyDescent="0.2">
      <c r="D482" s="1"/>
      <c r="E482" s="2"/>
      <c r="F482" s="3"/>
      <c r="G482" s="2"/>
      <c r="H482" s="2"/>
      <c r="I482" s="2"/>
    </row>
    <row r="483" spans="4:9" x14ac:dyDescent="0.2">
      <c r="D483" s="1"/>
      <c r="E483" s="2"/>
      <c r="F483" s="3"/>
      <c r="G483" s="2"/>
      <c r="H483" s="2"/>
      <c r="I483" s="2"/>
    </row>
    <row r="484" spans="4:9" x14ac:dyDescent="0.2">
      <c r="D484" s="1"/>
      <c r="E484" s="2"/>
      <c r="F484" s="3"/>
      <c r="G484" s="2"/>
      <c r="H484" s="2"/>
      <c r="I484" s="2"/>
    </row>
    <row r="485" spans="4:9" x14ac:dyDescent="0.2">
      <c r="D485" s="1"/>
      <c r="E485" s="2"/>
      <c r="F485" s="3"/>
      <c r="G485" s="2"/>
      <c r="H485" s="2"/>
      <c r="I485" s="2"/>
    </row>
    <row r="486" spans="4:9" x14ac:dyDescent="0.2">
      <c r="D486" s="1"/>
      <c r="E486" s="2"/>
      <c r="F486" s="3"/>
      <c r="G486" s="2"/>
      <c r="H486" s="2"/>
      <c r="I486" s="2"/>
    </row>
    <row r="487" spans="4:9" x14ac:dyDescent="0.2">
      <c r="D487" s="1"/>
      <c r="E487" s="2"/>
      <c r="F487" s="3"/>
      <c r="G487" s="2"/>
      <c r="H487" s="2"/>
      <c r="I487" s="2"/>
    </row>
    <row r="488" spans="4:9" x14ac:dyDescent="0.2">
      <c r="D488" s="1"/>
      <c r="E488" s="2"/>
      <c r="F488" s="3"/>
      <c r="G488" s="2"/>
      <c r="H488" s="2"/>
      <c r="I488" s="2"/>
    </row>
    <row r="489" spans="4:9" x14ac:dyDescent="0.2">
      <c r="D489" s="1"/>
      <c r="E489" s="2"/>
      <c r="F489" s="3"/>
      <c r="G489" s="2"/>
      <c r="H489" s="2"/>
      <c r="I489" s="2"/>
    </row>
    <row r="490" spans="4:9" x14ac:dyDescent="0.2">
      <c r="D490" s="1"/>
      <c r="E490" s="2"/>
      <c r="F490" s="3"/>
      <c r="G490" s="2"/>
      <c r="H490" s="2"/>
      <c r="I490" s="2"/>
    </row>
    <row r="491" spans="4:9" x14ac:dyDescent="0.2">
      <c r="D491" s="1"/>
      <c r="E491" s="2"/>
      <c r="F491" s="3"/>
      <c r="G491" s="2"/>
      <c r="H491" s="2"/>
      <c r="I491" s="2"/>
    </row>
    <row r="492" spans="4:9" x14ac:dyDescent="0.2">
      <c r="D492" s="1"/>
      <c r="E492" s="2"/>
      <c r="F492" s="3"/>
      <c r="G492" s="2"/>
      <c r="H492" s="2"/>
      <c r="I492" s="2"/>
    </row>
    <row r="493" spans="4:9" x14ac:dyDescent="0.2">
      <c r="D493" s="1"/>
      <c r="E493" s="2"/>
      <c r="F493" s="3"/>
      <c r="G493" s="2"/>
      <c r="H493" s="2"/>
      <c r="I493" s="2"/>
    </row>
    <row r="494" spans="4:9" x14ac:dyDescent="0.2">
      <c r="D494" s="1"/>
      <c r="E494" s="2"/>
      <c r="F494" s="3"/>
      <c r="G494" s="2"/>
      <c r="H494" s="2"/>
      <c r="I494" s="2"/>
    </row>
    <row r="495" spans="4:9" x14ac:dyDescent="0.2">
      <c r="D495" s="1"/>
      <c r="E495" s="2"/>
      <c r="F495" s="3"/>
      <c r="G495" s="2"/>
      <c r="H495" s="2"/>
      <c r="I495" s="2"/>
    </row>
    <row r="496" spans="4:9" x14ac:dyDescent="0.2">
      <c r="D496" s="1"/>
      <c r="E496" s="2"/>
      <c r="F496" s="3"/>
      <c r="G496" s="2"/>
      <c r="H496" s="2"/>
      <c r="I496" s="2"/>
    </row>
    <row r="497" spans="4:9" x14ac:dyDescent="0.2">
      <c r="D497" s="1"/>
      <c r="E497" s="2"/>
      <c r="F497" s="3"/>
      <c r="G497" s="2"/>
      <c r="H497" s="2"/>
      <c r="I497" s="2"/>
    </row>
    <row r="498" spans="4:9" x14ac:dyDescent="0.2">
      <c r="D498" s="1"/>
      <c r="E498" s="2"/>
      <c r="F498" s="3"/>
      <c r="G498" s="2"/>
      <c r="H498" s="2"/>
      <c r="I498" s="2"/>
    </row>
    <row r="499" spans="4:9" x14ac:dyDescent="0.2">
      <c r="D499" s="1"/>
      <c r="E499" s="2"/>
      <c r="F499" s="3"/>
      <c r="G499" s="2"/>
      <c r="H499" s="2"/>
      <c r="I499" s="2"/>
    </row>
    <row r="500" spans="4:9" x14ac:dyDescent="0.2">
      <c r="D500" s="1"/>
      <c r="E500" s="2"/>
      <c r="F500" s="3"/>
      <c r="G500" s="2"/>
      <c r="H500" s="2"/>
      <c r="I500" s="2"/>
    </row>
    <row r="501" spans="4:9" x14ac:dyDescent="0.2">
      <c r="D501" s="1"/>
    </row>
    <row r="502" spans="4:9" x14ac:dyDescent="0.2">
      <c r="D502" s="1"/>
    </row>
    <row r="503" spans="4:9" x14ac:dyDescent="0.2">
      <c r="D503" s="1"/>
    </row>
    <row r="504" spans="4:9" x14ac:dyDescent="0.2">
      <c r="D504" s="1"/>
    </row>
    <row r="505" spans="4:9" x14ac:dyDescent="0.2">
      <c r="D505" s="1"/>
    </row>
    <row r="506" spans="4:9" x14ac:dyDescent="0.2">
      <c r="D506" s="1"/>
    </row>
    <row r="507" spans="4:9" x14ac:dyDescent="0.2">
      <c r="D507" s="1"/>
    </row>
    <row r="508" spans="4:9" x14ac:dyDescent="0.2">
      <c r="D508" s="1"/>
    </row>
    <row r="509" spans="4:9" x14ac:dyDescent="0.2">
      <c r="D509" s="1"/>
    </row>
    <row r="510" spans="4:9" x14ac:dyDescent="0.2">
      <c r="D510" s="1"/>
    </row>
    <row r="511" spans="4:9" x14ac:dyDescent="0.2">
      <c r="D511" s="1"/>
    </row>
    <row r="512" spans="4:9" x14ac:dyDescent="0.2">
      <c r="D512" s="1"/>
    </row>
    <row r="513" spans="4:4" x14ac:dyDescent="0.2">
      <c r="D513" s="1"/>
    </row>
    <row r="514" spans="4:4" x14ac:dyDescent="0.2">
      <c r="D514" s="1"/>
    </row>
    <row r="515" spans="4:4" x14ac:dyDescent="0.2">
      <c r="D515" s="1"/>
    </row>
    <row r="516" spans="4:4" x14ac:dyDescent="0.2">
      <c r="D516" s="1"/>
    </row>
    <row r="517" spans="4:4" x14ac:dyDescent="0.2">
      <c r="D517" s="1"/>
    </row>
    <row r="518" spans="4:4" x14ac:dyDescent="0.2">
      <c r="D518" s="1"/>
    </row>
    <row r="519" spans="4:4" x14ac:dyDescent="0.2">
      <c r="D519" s="1"/>
    </row>
    <row r="520" spans="4:4" x14ac:dyDescent="0.2">
      <c r="D520" s="1"/>
    </row>
    <row r="521" spans="4:4" x14ac:dyDescent="0.2">
      <c r="D521" s="1"/>
    </row>
    <row r="522" spans="4:4" x14ac:dyDescent="0.2">
      <c r="D522" s="1"/>
    </row>
    <row r="523" spans="4:4" x14ac:dyDescent="0.2">
      <c r="D523" s="1"/>
    </row>
    <row r="524" spans="4:4" x14ac:dyDescent="0.2">
      <c r="D524" s="1"/>
    </row>
    <row r="525" spans="4:4" x14ac:dyDescent="0.2">
      <c r="D525" s="1"/>
    </row>
    <row r="526" spans="4:4" x14ac:dyDescent="0.2">
      <c r="D526" s="1"/>
    </row>
    <row r="527" spans="4:4" x14ac:dyDescent="0.2">
      <c r="D527" s="1"/>
    </row>
    <row r="528" spans="4:4" x14ac:dyDescent="0.2">
      <c r="D528" s="1"/>
    </row>
    <row r="529" spans="4:4" x14ac:dyDescent="0.2">
      <c r="D529" s="1"/>
    </row>
    <row r="530" spans="4:4" x14ac:dyDescent="0.2">
      <c r="D530" s="1"/>
    </row>
    <row r="531" spans="4:4" x14ac:dyDescent="0.2">
      <c r="D531" s="1"/>
    </row>
    <row r="532" spans="4:4" x14ac:dyDescent="0.2">
      <c r="D532" s="1"/>
    </row>
    <row r="533" spans="4:4" x14ac:dyDescent="0.2">
      <c r="D533" s="1"/>
    </row>
    <row r="534" spans="4:4" x14ac:dyDescent="0.2">
      <c r="D534" s="1"/>
    </row>
    <row r="535" spans="4:4" x14ac:dyDescent="0.2">
      <c r="D535" s="1"/>
    </row>
    <row r="536" spans="4:4" x14ac:dyDescent="0.2">
      <c r="D536" s="1"/>
    </row>
    <row r="537" spans="4:4" x14ac:dyDescent="0.2">
      <c r="D537" s="1"/>
    </row>
    <row r="538" spans="4:4" x14ac:dyDescent="0.2">
      <c r="D538" s="1"/>
    </row>
    <row r="539" spans="4:4" x14ac:dyDescent="0.2">
      <c r="D539" s="1"/>
    </row>
    <row r="540" spans="4:4" x14ac:dyDescent="0.2">
      <c r="D540" s="1"/>
    </row>
    <row r="541" spans="4:4" x14ac:dyDescent="0.2">
      <c r="D541" s="1"/>
    </row>
    <row r="542" spans="4:4" x14ac:dyDescent="0.2">
      <c r="D542" s="1"/>
    </row>
    <row r="543" spans="4:4" x14ac:dyDescent="0.2">
      <c r="D543" s="1"/>
    </row>
    <row r="544" spans="4:4" x14ac:dyDescent="0.2">
      <c r="D544" s="1"/>
    </row>
    <row r="545" spans="4:4" x14ac:dyDescent="0.2">
      <c r="D545" s="1"/>
    </row>
    <row r="546" spans="4:4" x14ac:dyDescent="0.2">
      <c r="D546" s="1"/>
    </row>
    <row r="547" spans="4:4" x14ac:dyDescent="0.2">
      <c r="D547" s="1"/>
    </row>
    <row r="548" spans="4:4" x14ac:dyDescent="0.2">
      <c r="D548" s="1"/>
    </row>
    <row r="549" spans="4:4" x14ac:dyDescent="0.2">
      <c r="D549" s="1"/>
    </row>
    <row r="550" spans="4:4" x14ac:dyDescent="0.2">
      <c r="D550" s="1"/>
    </row>
    <row r="551" spans="4:4" x14ac:dyDescent="0.2">
      <c r="D551" s="1"/>
    </row>
    <row r="552" spans="4:4" x14ac:dyDescent="0.2">
      <c r="D552" s="1"/>
    </row>
    <row r="553" spans="4:4" x14ac:dyDescent="0.2">
      <c r="D553" s="1"/>
    </row>
    <row r="554" spans="4:4" x14ac:dyDescent="0.2">
      <c r="D554" s="1"/>
    </row>
    <row r="555" spans="4:4" x14ac:dyDescent="0.2">
      <c r="D555" s="1"/>
    </row>
    <row r="556" spans="4:4" x14ac:dyDescent="0.2">
      <c r="D556" s="1"/>
    </row>
    <row r="557" spans="4:4" x14ac:dyDescent="0.2">
      <c r="D557" s="1"/>
    </row>
    <row r="558" spans="4:4" x14ac:dyDescent="0.2">
      <c r="D558" s="1"/>
    </row>
    <row r="559" spans="4:4" x14ac:dyDescent="0.2">
      <c r="D559" s="1"/>
    </row>
    <row r="560" spans="4:4" x14ac:dyDescent="0.2">
      <c r="D560" s="1"/>
    </row>
    <row r="561" spans="4:4" x14ac:dyDescent="0.2">
      <c r="D561" s="1"/>
    </row>
    <row r="562" spans="4:4" x14ac:dyDescent="0.2">
      <c r="D562" s="1"/>
    </row>
    <row r="563" spans="4:4" x14ac:dyDescent="0.2">
      <c r="D563" s="1"/>
    </row>
    <row r="564" spans="4:4" x14ac:dyDescent="0.2">
      <c r="D564" s="1"/>
    </row>
    <row r="565" spans="4:4" x14ac:dyDescent="0.2">
      <c r="D565" s="1"/>
    </row>
    <row r="566" spans="4:4" x14ac:dyDescent="0.2">
      <c r="D566" s="1"/>
    </row>
    <row r="567" spans="4:4" x14ac:dyDescent="0.2">
      <c r="D567" s="1"/>
    </row>
    <row r="568" spans="4:4" x14ac:dyDescent="0.2">
      <c r="D568" s="1"/>
    </row>
    <row r="569" spans="4:4" x14ac:dyDescent="0.2">
      <c r="D569" s="1"/>
    </row>
    <row r="570" spans="4:4" x14ac:dyDescent="0.2">
      <c r="D570" s="1"/>
    </row>
    <row r="571" spans="4:4" x14ac:dyDescent="0.2">
      <c r="D571" s="1"/>
    </row>
    <row r="572" spans="4:4" x14ac:dyDescent="0.2">
      <c r="D572" s="1"/>
    </row>
    <row r="573" spans="4:4" x14ac:dyDescent="0.2">
      <c r="D573" s="1"/>
    </row>
    <row r="574" spans="4:4" x14ac:dyDescent="0.2">
      <c r="D574" s="1"/>
    </row>
    <row r="575" spans="4:4" x14ac:dyDescent="0.2">
      <c r="D575" s="1"/>
    </row>
    <row r="576" spans="4:4" x14ac:dyDescent="0.2">
      <c r="D576" s="1"/>
    </row>
    <row r="577" spans="4:4" x14ac:dyDescent="0.2">
      <c r="D577" s="1"/>
    </row>
    <row r="578" spans="4:4" x14ac:dyDescent="0.2">
      <c r="D578" s="1"/>
    </row>
    <row r="579" spans="4:4" x14ac:dyDescent="0.2">
      <c r="D579" s="1"/>
    </row>
    <row r="580" spans="4:4" x14ac:dyDescent="0.2">
      <c r="D580" s="1"/>
    </row>
    <row r="581" spans="4:4" x14ac:dyDescent="0.2">
      <c r="D581" s="1"/>
    </row>
    <row r="582" spans="4:4" x14ac:dyDescent="0.2">
      <c r="D582" s="1"/>
    </row>
    <row r="583" spans="4:4" x14ac:dyDescent="0.2">
      <c r="D583" s="1"/>
    </row>
    <row r="584" spans="4:4" x14ac:dyDescent="0.2">
      <c r="D584" s="1"/>
    </row>
    <row r="585" spans="4:4" x14ac:dyDescent="0.2">
      <c r="D585" s="1"/>
    </row>
    <row r="586" spans="4:4" x14ac:dyDescent="0.2">
      <c r="D586" s="1"/>
    </row>
    <row r="587" spans="4:4" x14ac:dyDescent="0.2">
      <c r="D587" s="1"/>
    </row>
    <row r="588" spans="4:4" x14ac:dyDescent="0.2">
      <c r="D588" s="1"/>
    </row>
    <row r="589" spans="4:4" x14ac:dyDescent="0.2">
      <c r="D589" s="1"/>
    </row>
    <row r="590" spans="4:4" x14ac:dyDescent="0.2">
      <c r="D590" s="1"/>
    </row>
    <row r="591" spans="4:4" x14ac:dyDescent="0.2">
      <c r="D591" s="1"/>
    </row>
    <row r="592" spans="4:4" x14ac:dyDescent="0.2">
      <c r="D592" s="1"/>
    </row>
    <row r="593" spans="4:4" x14ac:dyDescent="0.2">
      <c r="D593" s="1"/>
    </row>
    <row r="594" spans="4:4" x14ac:dyDescent="0.2">
      <c r="D594" s="1"/>
    </row>
    <row r="595" spans="4:4" x14ac:dyDescent="0.2">
      <c r="D595" s="1"/>
    </row>
    <row r="596" spans="4:4" x14ac:dyDescent="0.2">
      <c r="D596" s="1"/>
    </row>
    <row r="597" spans="4:4" x14ac:dyDescent="0.2">
      <c r="D597" s="1"/>
    </row>
    <row r="598" spans="4:4" x14ac:dyDescent="0.2">
      <c r="D598" s="1"/>
    </row>
    <row r="599" spans="4:4" x14ac:dyDescent="0.2">
      <c r="D599" s="1"/>
    </row>
    <row r="600" spans="4:4" x14ac:dyDescent="0.2">
      <c r="D600" s="1"/>
    </row>
    <row r="601" spans="4:4" x14ac:dyDescent="0.2">
      <c r="D601" s="1"/>
    </row>
    <row r="602" spans="4:4" x14ac:dyDescent="0.2">
      <c r="D602" s="1"/>
    </row>
    <row r="603" spans="4:4" x14ac:dyDescent="0.2">
      <c r="D603" s="1"/>
    </row>
    <row r="604" spans="4:4" x14ac:dyDescent="0.2">
      <c r="D604" s="1"/>
    </row>
    <row r="605" spans="4:4" x14ac:dyDescent="0.2">
      <c r="D605" s="1"/>
    </row>
    <row r="606" spans="4:4" x14ac:dyDescent="0.2">
      <c r="D606" s="1"/>
    </row>
    <row r="607" spans="4:4" x14ac:dyDescent="0.2">
      <c r="D607" s="1"/>
    </row>
    <row r="608" spans="4:4" x14ac:dyDescent="0.2">
      <c r="D608" s="1"/>
    </row>
    <row r="609" spans="4:4" x14ac:dyDescent="0.2">
      <c r="D609" s="1"/>
    </row>
    <row r="610" spans="4:4" x14ac:dyDescent="0.2">
      <c r="D610" s="1"/>
    </row>
    <row r="611" spans="4:4" x14ac:dyDescent="0.2">
      <c r="D611" s="1"/>
    </row>
    <row r="612" spans="4:4" x14ac:dyDescent="0.2">
      <c r="D612" s="1"/>
    </row>
    <row r="613" spans="4:4" x14ac:dyDescent="0.2">
      <c r="D613" s="1"/>
    </row>
    <row r="614" spans="4:4" x14ac:dyDescent="0.2">
      <c r="D614" s="1"/>
    </row>
    <row r="615" spans="4:4" x14ac:dyDescent="0.2">
      <c r="D615" s="1"/>
    </row>
    <row r="616" spans="4:4" x14ac:dyDescent="0.2">
      <c r="D616" s="1"/>
    </row>
    <row r="617" spans="4:4" x14ac:dyDescent="0.2">
      <c r="D617" s="1"/>
    </row>
    <row r="618" spans="4:4" x14ac:dyDescent="0.2">
      <c r="D618" s="1"/>
    </row>
    <row r="619" spans="4:4" x14ac:dyDescent="0.2">
      <c r="D619" s="1"/>
    </row>
    <row r="620" spans="4:4" x14ac:dyDescent="0.2">
      <c r="D620" s="1"/>
    </row>
    <row r="621" spans="4:4" x14ac:dyDescent="0.2">
      <c r="D621" s="1"/>
    </row>
    <row r="622" spans="4:4" x14ac:dyDescent="0.2">
      <c r="D622" s="1"/>
    </row>
    <row r="623" spans="4:4" x14ac:dyDescent="0.2">
      <c r="D623" s="1"/>
    </row>
    <row r="624" spans="4:4" x14ac:dyDescent="0.2">
      <c r="D624" s="1"/>
    </row>
    <row r="625" spans="4:4" x14ac:dyDescent="0.2">
      <c r="D625" s="1"/>
    </row>
    <row r="626" spans="4:4" x14ac:dyDescent="0.2">
      <c r="D626" s="1"/>
    </row>
    <row r="627" spans="4:4" x14ac:dyDescent="0.2">
      <c r="D627" s="1"/>
    </row>
    <row r="628" spans="4:4" x14ac:dyDescent="0.2">
      <c r="D628" s="1"/>
    </row>
    <row r="629" spans="4:4" x14ac:dyDescent="0.2">
      <c r="D629" s="1"/>
    </row>
    <row r="630" spans="4:4" x14ac:dyDescent="0.2">
      <c r="D630" s="1"/>
    </row>
    <row r="631" spans="4:4" x14ac:dyDescent="0.2">
      <c r="D631" s="1"/>
    </row>
    <row r="632" spans="4:4" x14ac:dyDescent="0.2">
      <c r="D632" s="1"/>
    </row>
    <row r="633" spans="4:4" x14ac:dyDescent="0.2">
      <c r="D633" s="1"/>
    </row>
    <row r="634" spans="4:4" x14ac:dyDescent="0.2">
      <c r="D634" s="1"/>
    </row>
    <row r="635" spans="4:4" x14ac:dyDescent="0.2">
      <c r="D635" s="1"/>
    </row>
    <row r="636" spans="4:4" x14ac:dyDescent="0.2">
      <c r="D636" s="1"/>
    </row>
    <row r="637" spans="4:4" x14ac:dyDescent="0.2">
      <c r="D637" s="1"/>
    </row>
    <row r="638" spans="4:4" x14ac:dyDescent="0.2">
      <c r="D638" s="1"/>
    </row>
    <row r="639" spans="4:4" x14ac:dyDescent="0.2">
      <c r="D639" s="1"/>
    </row>
    <row r="640" spans="4:4" x14ac:dyDescent="0.2">
      <c r="D640" s="1"/>
    </row>
    <row r="641" spans="4:4" x14ac:dyDescent="0.2">
      <c r="D641" s="1"/>
    </row>
    <row r="642" spans="4:4" x14ac:dyDescent="0.2">
      <c r="D642" s="1"/>
    </row>
    <row r="643" spans="4:4" x14ac:dyDescent="0.2">
      <c r="D643" s="1"/>
    </row>
    <row r="644" spans="4:4" x14ac:dyDescent="0.2">
      <c r="D644" s="1"/>
    </row>
    <row r="645" spans="4:4" x14ac:dyDescent="0.2">
      <c r="D645" s="1"/>
    </row>
    <row r="646" spans="4:4" x14ac:dyDescent="0.2">
      <c r="D646" s="1"/>
    </row>
    <row r="647" spans="4:4" x14ac:dyDescent="0.2">
      <c r="D647" s="1"/>
    </row>
    <row r="648" spans="4:4" x14ac:dyDescent="0.2">
      <c r="D648" s="1"/>
    </row>
    <row r="649" spans="4:4" x14ac:dyDescent="0.2">
      <c r="D649" s="1"/>
    </row>
    <row r="650" spans="4:4" x14ac:dyDescent="0.2">
      <c r="D650" s="1"/>
    </row>
    <row r="651" spans="4:4" x14ac:dyDescent="0.2">
      <c r="D651" s="1"/>
    </row>
    <row r="652" spans="4:4" x14ac:dyDescent="0.2">
      <c r="D652" s="1"/>
    </row>
    <row r="653" spans="4:4" x14ac:dyDescent="0.2">
      <c r="D653" s="1"/>
    </row>
    <row r="654" spans="4:4" x14ac:dyDescent="0.2">
      <c r="D654" s="1"/>
    </row>
    <row r="655" spans="4:4" x14ac:dyDescent="0.2">
      <c r="D655" s="1"/>
    </row>
    <row r="656" spans="4:4" x14ac:dyDescent="0.2">
      <c r="D656" s="1"/>
    </row>
    <row r="657" spans="4:4" x14ac:dyDescent="0.2">
      <c r="D657" s="1"/>
    </row>
    <row r="658" spans="4:4" x14ac:dyDescent="0.2">
      <c r="D658" s="1"/>
    </row>
    <row r="659" spans="4:4" x14ac:dyDescent="0.2">
      <c r="D659" s="1"/>
    </row>
    <row r="660" spans="4:4" x14ac:dyDescent="0.2">
      <c r="D660" s="1"/>
    </row>
    <row r="661" spans="4:4" x14ac:dyDescent="0.2">
      <c r="D661" s="1"/>
    </row>
    <row r="662" spans="4:4" x14ac:dyDescent="0.2">
      <c r="D662" s="1"/>
    </row>
    <row r="663" spans="4:4" x14ac:dyDescent="0.2">
      <c r="D663" s="1"/>
    </row>
    <row r="664" spans="4:4" x14ac:dyDescent="0.2">
      <c r="D664" s="1"/>
    </row>
    <row r="665" spans="4:4" x14ac:dyDescent="0.2">
      <c r="D665" s="1"/>
    </row>
    <row r="666" spans="4:4" x14ac:dyDescent="0.2">
      <c r="D666" s="1"/>
    </row>
    <row r="667" spans="4:4" x14ac:dyDescent="0.2">
      <c r="D667" s="1"/>
    </row>
    <row r="668" spans="4:4" x14ac:dyDescent="0.2">
      <c r="D668" s="1"/>
    </row>
    <row r="669" spans="4:4" x14ac:dyDescent="0.2">
      <c r="D669" s="1"/>
    </row>
    <row r="670" spans="4:4" x14ac:dyDescent="0.2">
      <c r="D670" s="1"/>
    </row>
    <row r="671" spans="4:4" x14ac:dyDescent="0.2">
      <c r="D671" s="1"/>
    </row>
    <row r="672" spans="4:4" x14ac:dyDescent="0.2">
      <c r="D672" s="1"/>
    </row>
    <row r="673" spans="4:4" x14ac:dyDescent="0.2">
      <c r="D673" s="1"/>
    </row>
    <row r="674" spans="4:4" x14ac:dyDescent="0.2">
      <c r="D674" s="1"/>
    </row>
    <row r="675" spans="4:4" x14ac:dyDescent="0.2">
      <c r="D675" s="1"/>
    </row>
    <row r="676" spans="4:4" x14ac:dyDescent="0.2">
      <c r="D676" s="1"/>
    </row>
    <row r="677" spans="4:4" x14ac:dyDescent="0.2">
      <c r="D677" s="1"/>
    </row>
    <row r="678" spans="4:4" x14ac:dyDescent="0.2">
      <c r="D678" s="1"/>
    </row>
    <row r="679" spans="4:4" x14ac:dyDescent="0.2">
      <c r="D679" s="1"/>
    </row>
    <row r="680" spans="4:4" x14ac:dyDescent="0.2">
      <c r="D680" s="1"/>
    </row>
    <row r="681" spans="4:4" x14ac:dyDescent="0.2">
      <c r="D681" s="1"/>
    </row>
    <row r="682" spans="4:4" x14ac:dyDescent="0.2">
      <c r="D682" s="1"/>
    </row>
    <row r="683" spans="4:4" x14ac:dyDescent="0.2">
      <c r="D683" s="1"/>
    </row>
    <row r="684" spans="4:4" x14ac:dyDescent="0.2">
      <c r="D684" s="1"/>
    </row>
    <row r="685" spans="4:4" x14ac:dyDescent="0.2">
      <c r="D685" s="1"/>
    </row>
    <row r="686" spans="4:4" x14ac:dyDescent="0.2">
      <c r="D686" s="1"/>
    </row>
    <row r="687" spans="4:4" x14ac:dyDescent="0.2">
      <c r="D687" s="1"/>
    </row>
    <row r="688" spans="4:4" x14ac:dyDescent="0.2">
      <c r="D688" s="1"/>
    </row>
    <row r="689" spans="4:4" x14ac:dyDescent="0.2">
      <c r="D689" s="1"/>
    </row>
    <row r="690" spans="4:4" x14ac:dyDescent="0.2">
      <c r="D690" s="1"/>
    </row>
    <row r="691" spans="4:4" x14ac:dyDescent="0.2">
      <c r="D691" s="1"/>
    </row>
    <row r="692" spans="4:4" x14ac:dyDescent="0.2">
      <c r="D692" s="1"/>
    </row>
    <row r="693" spans="4:4" x14ac:dyDescent="0.2">
      <c r="D693" s="1"/>
    </row>
    <row r="694" spans="4:4" x14ac:dyDescent="0.2">
      <c r="D694" s="1"/>
    </row>
    <row r="695" spans="4:4" x14ac:dyDescent="0.2">
      <c r="D695" s="1"/>
    </row>
    <row r="696" spans="4:4" x14ac:dyDescent="0.2">
      <c r="D696" s="1"/>
    </row>
    <row r="697" spans="4:4" x14ac:dyDescent="0.2">
      <c r="D697" s="1"/>
    </row>
    <row r="698" spans="4:4" x14ac:dyDescent="0.2">
      <c r="D698" s="1"/>
    </row>
    <row r="699" spans="4:4" x14ac:dyDescent="0.2">
      <c r="D699" s="1"/>
    </row>
    <row r="700" spans="4:4" x14ac:dyDescent="0.2">
      <c r="D700" s="1"/>
    </row>
    <row r="701" spans="4:4" x14ac:dyDescent="0.2">
      <c r="D701" s="1"/>
    </row>
    <row r="702" spans="4:4" x14ac:dyDescent="0.2">
      <c r="D702" s="1"/>
    </row>
    <row r="703" spans="4:4" x14ac:dyDescent="0.2">
      <c r="D703" s="1"/>
    </row>
    <row r="704" spans="4:4" x14ac:dyDescent="0.2">
      <c r="D70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teMortgageInterest">
                <anchor moveWithCells="1" sizeWithCells="1">
                  <from>
                    <xdr:col>0</xdr:col>
                    <xdr:colOff>95250</xdr:colOff>
                    <xdr:row>4</xdr:row>
                    <xdr:rowOff>66675</xdr:rowOff>
                  </from>
                  <to>
                    <xdr:col>1</xdr:col>
                    <xdr:colOff>990600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Loan_Schedule_Original</vt:lpstr>
      <vt:lpstr>Loan_Schedule_Current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 (123279)</dc:creator>
  <cp:lastModifiedBy>Jason Walker (123279)</cp:lastModifiedBy>
  <dcterms:created xsi:type="dcterms:W3CDTF">2021-09-12T14:24:18Z</dcterms:created>
  <dcterms:modified xsi:type="dcterms:W3CDTF">2021-09-12T18:23:15Z</dcterms:modified>
</cp:coreProperties>
</file>