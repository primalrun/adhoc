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Invest\"/>
    </mc:Choice>
  </mc:AlternateContent>
  <xr:revisionPtr revIDLastSave="0" documentId="13_ncr:1_{270B6A80-9C7E-4153-B848-71E5FA8E1431}" xr6:coauthVersionLast="46" xr6:coauthVersionMax="46" xr10:uidLastSave="{00000000-0000-0000-0000-000000000000}"/>
  <bookViews>
    <workbookView xWindow="-28920" yWindow="-120" windowWidth="29040" windowHeight="15990" activeTab="2" xr2:uid="{969AF33A-07C7-445B-8977-710961328713}"/>
  </bookViews>
  <sheets>
    <sheet name="StockConsideration" sheetId="1" r:id="rId1"/>
    <sheet name="StockOwnership" sheetId="2" r:id="rId2"/>
    <sheet name="Return" sheetId="5" r:id="rId3"/>
    <sheet name="Price_Increase" sheetId="4" r:id="rId4"/>
    <sheet name="SymbolLookup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1" i="2" l="1"/>
  <c r="J31" i="2" s="1"/>
  <c r="D31" i="2"/>
  <c r="I30" i="2"/>
  <c r="J30" i="2" s="1"/>
  <c r="D30" i="2"/>
  <c r="I29" i="2"/>
  <c r="J29" i="2" s="1"/>
  <c r="D29" i="2"/>
  <c r="I28" i="2"/>
  <c r="J28" i="2" s="1"/>
  <c r="D28" i="2"/>
  <c r="I27" i="2" l="1"/>
  <c r="J27" i="2" s="1"/>
  <c r="D27" i="2"/>
  <c r="I26" i="2"/>
  <c r="J26" i="2" s="1"/>
  <c r="D26" i="2"/>
  <c r="I25" i="2"/>
  <c r="J25" i="2" s="1"/>
  <c r="D25" i="2"/>
  <c r="I24" i="2"/>
  <c r="J24" i="2" s="1"/>
  <c r="D24" i="2"/>
  <c r="I23" i="2"/>
  <c r="J23" i="2" s="1"/>
  <c r="D23" i="2"/>
  <c r="I22" i="2"/>
  <c r="J22" i="2" s="1"/>
  <c r="D22" i="2"/>
  <c r="I21" i="2"/>
  <c r="J21" i="2" s="1"/>
  <c r="I20" i="2"/>
  <c r="J20" i="2" s="1"/>
  <c r="I19" i="2"/>
  <c r="J19" i="2" s="1"/>
  <c r="I18" i="2"/>
  <c r="J18" i="2" s="1"/>
  <c r="D21" i="2"/>
  <c r="D20" i="2"/>
  <c r="D19" i="2"/>
  <c r="D18" i="2"/>
  <c r="I17" i="2"/>
  <c r="J17" i="2" s="1"/>
  <c r="D17" i="2"/>
  <c r="I16" i="2"/>
  <c r="J16" i="2" s="1"/>
  <c r="D16" i="2"/>
  <c r="I15" i="2"/>
  <c r="J15" i="2" s="1"/>
  <c r="I14" i="2"/>
  <c r="J14" i="2" s="1"/>
  <c r="I13" i="2"/>
  <c r="J13" i="2" s="1"/>
  <c r="I12" i="2"/>
  <c r="J12" i="2" s="1"/>
  <c r="I11" i="2"/>
  <c r="J11" i="2" s="1"/>
  <c r="I10" i="2"/>
  <c r="J10" i="2" s="1"/>
  <c r="I9" i="2"/>
  <c r="J9" i="2" s="1"/>
  <c r="I8" i="2"/>
  <c r="J8" i="2" s="1"/>
  <c r="I7" i="2"/>
  <c r="J7" i="2" s="1"/>
  <c r="I6" i="2"/>
  <c r="J6" i="2" s="1"/>
  <c r="I5" i="2"/>
  <c r="J5" i="2" s="1"/>
  <c r="I4" i="2"/>
  <c r="J4" i="2" s="1"/>
  <c r="I3" i="2"/>
  <c r="J3" i="2" s="1"/>
  <c r="J2" i="2"/>
  <c r="I2" i="2"/>
  <c r="D15" i="2"/>
  <c r="D14" i="2"/>
  <c r="D13" i="2"/>
  <c r="D12" i="2"/>
  <c r="D11" i="2"/>
  <c r="D10" i="2"/>
  <c r="B3" i="4"/>
  <c r="D9" i="2"/>
  <c r="D2" i="2"/>
  <c r="D3" i="2"/>
  <c r="D4" i="2"/>
  <c r="D5" i="2"/>
  <c r="D8" i="2"/>
  <c r="D7" i="2"/>
  <c r="D6" i="2"/>
  <c r="B2" i="5" l="1"/>
  <c r="C2" i="5" l="1"/>
  <c r="E2" i="5"/>
  <c r="F2" i="5" s="1"/>
</calcChain>
</file>

<file path=xl/sharedStrings.xml><?xml version="1.0" encoding="utf-8"?>
<sst xmlns="http://schemas.openxmlformats.org/spreadsheetml/2006/main" count="74" uniqueCount="65">
  <si>
    <t>Company</t>
  </si>
  <si>
    <t>S</t>
  </si>
  <si>
    <t>Symbol</t>
  </si>
  <si>
    <t>Industry</t>
  </si>
  <si>
    <t>LYB</t>
  </si>
  <si>
    <t>LYONDELLBASELL INDUSTRIES</t>
  </si>
  <si>
    <t>ZNGA</t>
  </si>
  <si>
    <t>ZYNGA INC</t>
  </si>
  <si>
    <t>Chemicals</t>
  </si>
  <si>
    <t>Sector</t>
  </si>
  <si>
    <t>Materials</t>
  </si>
  <si>
    <t>Communication Services</t>
  </si>
  <si>
    <t>Entertainment</t>
  </si>
  <si>
    <t>SENTINELONE</t>
  </si>
  <si>
    <t>Information Technology</t>
  </si>
  <si>
    <t>Software</t>
  </si>
  <si>
    <t>Acquire_Date</t>
  </si>
  <si>
    <t>Cost_Basis</t>
  </si>
  <si>
    <t>Cost_Basis_Per_Share</t>
  </si>
  <si>
    <t>RBBN</t>
  </si>
  <si>
    <t>Sell_Date</t>
  </si>
  <si>
    <t>Shares_Purchased</t>
  </si>
  <si>
    <t>Shares_Sold</t>
  </si>
  <si>
    <t>Sales_Price</t>
  </si>
  <si>
    <t>Profit_(Loss)</t>
  </si>
  <si>
    <t>Return_%</t>
  </si>
  <si>
    <t>RIBBON COMMUNICATIONS INC.</t>
  </si>
  <si>
    <t>Communications Equipment</t>
  </si>
  <si>
    <t>NUE</t>
  </si>
  <si>
    <t>HPQ</t>
  </si>
  <si>
    <t>QCOM</t>
  </si>
  <si>
    <t>X</t>
  </si>
  <si>
    <t>ADBE</t>
  </si>
  <si>
    <t>HCA</t>
  </si>
  <si>
    <t>MRNA</t>
  </si>
  <si>
    <t>RCII</t>
  </si>
  <si>
    <t>PINS</t>
  </si>
  <si>
    <t>Share Price Purchase</t>
  </si>
  <si>
    <t>% Increase</t>
  </si>
  <si>
    <t>Sell Price</t>
  </si>
  <si>
    <t>ARCB</t>
  </si>
  <si>
    <t>FDX</t>
  </si>
  <si>
    <t>FB</t>
  </si>
  <si>
    <t>UHS</t>
  </si>
  <si>
    <t>IBM</t>
  </si>
  <si>
    <t>Investment</t>
  </si>
  <si>
    <t>THC</t>
  </si>
  <si>
    <t>GPS</t>
  </si>
  <si>
    <t>NVDA</t>
  </si>
  <si>
    <t>VLO</t>
  </si>
  <si>
    <t>ADI</t>
  </si>
  <si>
    <t>IRNT</t>
  </si>
  <si>
    <t>EHC</t>
  </si>
  <si>
    <t>Stock</t>
  </si>
  <si>
    <t>EPD</t>
  </si>
  <si>
    <t>Buy_Price</t>
  </si>
  <si>
    <t>KMI</t>
  </si>
  <si>
    <t>MLP</t>
  </si>
  <si>
    <t>Sales_Return</t>
  </si>
  <si>
    <t>Current_Portfolio_Value</t>
  </si>
  <si>
    <t>Unrealized_Gain_(Loss)</t>
  </si>
  <si>
    <t>Unrealized_Return</t>
  </si>
  <si>
    <t>LH</t>
  </si>
  <si>
    <t>LRCX</t>
  </si>
  <si>
    <t>FTNT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</si>
</sst>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.000_);_(* \(#,##0.000\);_(* &quot;-&quot;??_);_(@_)"/>
    <numFmt numFmtId="165" formatCode="_(* #,##0_);_(* \(#,##0\);_(* &quot;-&quot;??_);_(@_)"/>
    <numFmt numFmtId="166" formatCode="0.0%"/>
  </numFmts>
  <fonts count="2" x14ac:knownFonts="1">
    <font>
      <sz val="11"/>
      <color theme="1"/>
      <name val="Verdana"/>
      <family val="2"/>
    </font>
    <font>
      <sz val="11"/>
      <color rgb="FFFFFFFF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183C5C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/>
    </xf>
    <xf numFmtId="43" fontId="0" fillId="0" borderId="0" xfId="0" applyNumberFormat="1"/>
    <xf numFmtId="0" fontId="1" fillId="2" borderId="2" xfId="0" applyFont="1" applyFill="1" applyBorder="1" applyAlignment="1">
      <alignment horizontal="center"/>
    </xf>
    <xf numFmtId="10" fontId="0" fillId="0" borderId="0" xfId="0" applyNumberFormat="1"/>
    <xf numFmtId="0" fontId="0" fillId="3" borderId="0" xfId="0" applyFill="1"/>
    <xf numFmtId="14" fontId="0" fillId="3" borderId="0" xfId="0" applyNumberFormat="1" applyFill="1"/>
    <xf numFmtId="164" fontId="0" fillId="3" borderId="0" xfId="0" applyNumberFormat="1" applyFill="1"/>
    <xf numFmtId="164" fontId="0" fillId="3" borderId="0" xfId="0" applyNumberFormat="1" applyFill="1" applyBorder="1"/>
    <xf numFmtId="43" fontId="0" fillId="3" borderId="0" xfId="0" applyNumberFormat="1" applyFill="1"/>
    <xf numFmtId="43" fontId="0" fillId="3" borderId="0" xfId="0" applyNumberFormat="1" applyFill="1" applyBorder="1"/>
    <xf numFmtId="10" fontId="0" fillId="3" borderId="0" xfId="0" applyNumberFormat="1" applyFill="1"/>
    <xf numFmtId="166" fontId="0" fillId="0" borderId="0" xfId="0" applyNumberFormat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223C5-EB9F-4B22-870C-6B9456748178}">
  <dimension ref="A1:B4"/>
  <sheetViews>
    <sheetView workbookViewId="0">
      <pane ySplit="1" topLeftCell="A2" activePane="bottomLeft" state="frozen"/>
      <selection pane="bottomLeft" activeCell="A5" sqref="A5"/>
    </sheetView>
  </sheetViews>
  <sheetFormatPr defaultRowHeight="14.25" x14ac:dyDescent="0.2"/>
  <sheetData>
    <row r="1" spans="1:2" x14ac:dyDescent="0.2">
      <c r="A1" t="s">
        <v>53</v>
      </c>
      <c r="B1" t="s">
        <v>55</v>
      </c>
    </row>
    <row r="2" spans="1:2" x14ac:dyDescent="0.2">
      <c r="A2" t="s">
        <v>54</v>
      </c>
      <c r="B2">
        <v>21.5</v>
      </c>
    </row>
    <row r="3" spans="1:2" x14ac:dyDescent="0.2">
      <c r="A3" t="s">
        <v>56</v>
      </c>
      <c r="B3">
        <v>16.75</v>
      </c>
    </row>
    <row r="4" spans="1:2" x14ac:dyDescent="0.2">
      <c r="A4" t="s">
        <v>57</v>
      </c>
      <c r="B4">
        <v>10.3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75860-0F59-4409-B41E-7E143B3DACC0}">
  <dimension ref="A1:J31"/>
  <sheetViews>
    <sheetView workbookViewId="0">
      <pane ySplit="1" topLeftCell="A2" activePane="bottomLeft" state="frozen"/>
      <selection pane="bottomLeft" activeCell="A32" sqref="A32"/>
    </sheetView>
  </sheetViews>
  <sheetFormatPr defaultRowHeight="14.25" x14ac:dyDescent="0.2"/>
  <cols>
    <col min="2" max="2" width="10.796875" bestFit="1" customWidth="1"/>
    <col min="3" max="3" width="14.69921875" bestFit="1" customWidth="1"/>
    <col min="4" max="4" width="18.09765625" bestFit="1" customWidth="1"/>
    <col min="5" max="5" width="9.296875" bestFit="1" customWidth="1"/>
    <col min="6" max="6" width="10.296875" bestFit="1" customWidth="1"/>
    <col min="7" max="7" width="10.19921875" bestFit="1" customWidth="1"/>
    <col min="9" max="9" width="10.59765625" bestFit="1" customWidth="1"/>
  </cols>
  <sheetData>
    <row r="1" spans="1:10" x14ac:dyDescent="0.2">
      <c r="A1" s="1" t="s">
        <v>2</v>
      </c>
      <c r="B1" s="1" t="s">
        <v>16</v>
      </c>
      <c r="C1" s="1" t="s">
        <v>21</v>
      </c>
      <c r="D1" s="1" t="s">
        <v>18</v>
      </c>
      <c r="E1" s="1" t="s">
        <v>17</v>
      </c>
      <c r="F1" s="3" t="s">
        <v>20</v>
      </c>
      <c r="G1" s="1" t="s">
        <v>22</v>
      </c>
      <c r="H1" s="3" t="s">
        <v>23</v>
      </c>
      <c r="I1" s="3" t="s">
        <v>24</v>
      </c>
      <c r="J1" s="3" t="s">
        <v>25</v>
      </c>
    </row>
    <row r="2" spans="1:10" x14ac:dyDescent="0.2">
      <c r="A2" s="5" t="s">
        <v>4</v>
      </c>
      <c r="B2" s="6">
        <v>44456</v>
      </c>
      <c r="C2" s="7">
        <v>9</v>
      </c>
      <c r="D2" s="2">
        <f t="shared" ref="D2:D8" si="0">+E2/C2</f>
        <v>91.86</v>
      </c>
      <c r="E2" s="9">
        <v>826.74</v>
      </c>
      <c r="F2" s="6">
        <v>44462</v>
      </c>
      <c r="G2" s="9">
        <v>9</v>
      </c>
      <c r="H2" s="5">
        <v>836.37</v>
      </c>
      <c r="I2" s="2">
        <f>IF(H2="","",H2-E2)</f>
        <v>9.6299999999999955</v>
      </c>
      <c r="J2" s="4">
        <f>IF(I2="","",I2/E2)</f>
        <v>1.1648160243849331E-2</v>
      </c>
    </row>
    <row r="3" spans="1:10" x14ac:dyDescent="0.2">
      <c r="A3" s="5" t="s">
        <v>4</v>
      </c>
      <c r="B3" s="6">
        <v>44456</v>
      </c>
      <c r="C3" s="7">
        <v>0.79700000000000004</v>
      </c>
      <c r="D3" s="2">
        <f t="shared" si="0"/>
        <v>91.81</v>
      </c>
      <c r="E3" s="9">
        <v>73.172570000000007</v>
      </c>
      <c r="F3" s="6">
        <v>44462</v>
      </c>
      <c r="G3" s="9">
        <v>0.79700000000000004</v>
      </c>
      <c r="H3" s="5">
        <v>74.05</v>
      </c>
      <c r="I3" s="2">
        <f t="shared" ref="I3:I15" si="1">IF(H3="","",H3-E3)</f>
        <v>0.87742999999998972</v>
      </c>
      <c r="J3" s="4">
        <f t="shared" ref="J3:J15" si="2">IF(I3="","",I3/E3)</f>
        <v>1.1991242073361502E-2</v>
      </c>
    </row>
    <row r="4" spans="1:10" x14ac:dyDescent="0.2">
      <c r="A4" s="5" t="s">
        <v>6</v>
      </c>
      <c r="B4" s="6">
        <v>44456</v>
      </c>
      <c r="C4" s="7">
        <v>12</v>
      </c>
      <c r="D4" s="2">
        <f t="shared" si="0"/>
        <v>7.919999999999999</v>
      </c>
      <c r="E4" s="9">
        <v>95.039999999999992</v>
      </c>
      <c r="F4" s="5"/>
      <c r="G4" s="9"/>
      <c r="H4" s="5"/>
      <c r="I4" s="2" t="str">
        <f t="shared" si="1"/>
        <v/>
      </c>
      <c r="J4" s="4" t="str">
        <f t="shared" si="2"/>
        <v/>
      </c>
    </row>
    <row r="5" spans="1:10" x14ac:dyDescent="0.2">
      <c r="A5" s="5" t="s">
        <v>6</v>
      </c>
      <c r="B5" s="6">
        <v>44456</v>
      </c>
      <c r="C5" s="7">
        <v>0.625</v>
      </c>
      <c r="D5" s="2">
        <f t="shared" si="0"/>
        <v>7.94</v>
      </c>
      <c r="E5" s="9">
        <v>4.9625000000000004</v>
      </c>
      <c r="F5" s="5"/>
      <c r="G5" s="9"/>
      <c r="H5" s="5"/>
      <c r="I5" s="2" t="str">
        <f t="shared" si="1"/>
        <v/>
      </c>
      <c r="J5" s="4" t="str">
        <f t="shared" si="2"/>
        <v/>
      </c>
    </row>
    <row r="6" spans="1:10" x14ac:dyDescent="0.2">
      <c r="A6" s="5" t="s">
        <v>19</v>
      </c>
      <c r="B6" s="6">
        <v>44466</v>
      </c>
      <c r="C6" s="8">
        <v>145</v>
      </c>
      <c r="D6" s="2">
        <f t="shared" si="0"/>
        <v>6.0931034482758619</v>
      </c>
      <c r="E6" s="10">
        <v>883.5</v>
      </c>
      <c r="F6" s="6">
        <v>44476</v>
      </c>
      <c r="G6" s="9">
        <v>145</v>
      </c>
      <c r="H6" s="5">
        <v>896.82</v>
      </c>
      <c r="I6" s="2">
        <f t="shared" si="1"/>
        <v>13.32000000000005</v>
      </c>
      <c r="J6" s="4">
        <f t="shared" si="2"/>
        <v>1.5076400679117204E-2</v>
      </c>
    </row>
    <row r="7" spans="1:10" x14ac:dyDescent="0.2">
      <c r="A7" s="5" t="s">
        <v>29</v>
      </c>
      <c r="B7" s="6">
        <v>44470</v>
      </c>
      <c r="C7" s="8">
        <v>18</v>
      </c>
      <c r="D7" s="2">
        <f t="shared" si="0"/>
        <v>27.708333333333332</v>
      </c>
      <c r="E7" s="10">
        <v>498.75</v>
      </c>
      <c r="F7" s="6">
        <v>44474</v>
      </c>
      <c r="G7" s="9">
        <v>18</v>
      </c>
      <c r="H7" s="5">
        <v>510.83</v>
      </c>
      <c r="I7" s="2">
        <f t="shared" si="1"/>
        <v>12.079999999999984</v>
      </c>
      <c r="J7" s="4">
        <f t="shared" si="2"/>
        <v>2.4220551378446083E-2</v>
      </c>
    </row>
    <row r="8" spans="1:10" x14ac:dyDescent="0.2">
      <c r="A8" s="5" t="s">
        <v>31</v>
      </c>
      <c r="B8" s="6">
        <v>44470</v>
      </c>
      <c r="C8" s="8">
        <v>22</v>
      </c>
      <c r="D8" s="2">
        <f t="shared" si="0"/>
        <v>22.185909090909089</v>
      </c>
      <c r="E8" s="10">
        <v>488.09</v>
      </c>
      <c r="F8" s="6">
        <v>44483</v>
      </c>
      <c r="G8" s="9">
        <v>22</v>
      </c>
      <c r="H8" s="5">
        <v>497.52</v>
      </c>
      <c r="I8" s="2">
        <f t="shared" si="1"/>
        <v>9.4300000000000068</v>
      </c>
      <c r="J8" s="4">
        <f t="shared" si="2"/>
        <v>1.9320207338810479E-2</v>
      </c>
    </row>
    <row r="9" spans="1:10" x14ac:dyDescent="0.2">
      <c r="A9" s="5" t="s">
        <v>36</v>
      </c>
      <c r="B9" s="6">
        <v>44474</v>
      </c>
      <c r="C9" s="8">
        <v>10</v>
      </c>
      <c r="D9" s="2">
        <f t="shared" ref="D9" si="3">+E9/C9</f>
        <v>50.160000000000004</v>
      </c>
      <c r="E9" s="10">
        <v>501.6</v>
      </c>
      <c r="F9" s="6">
        <v>44476</v>
      </c>
      <c r="G9" s="9">
        <v>10</v>
      </c>
      <c r="H9" s="5">
        <v>515.49</v>
      </c>
      <c r="I9" s="2">
        <f t="shared" si="1"/>
        <v>13.889999999999986</v>
      </c>
      <c r="J9" s="4">
        <f t="shared" si="2"/>
        <v>2.7691387559808583E-2</v>
      </c>
    </row>
    <row r="10" spans="1:10" x14ac:dyDescent="0.2">
      <c r="A10" s="5" t="s">
        <v>40</v>
      </c>
      <c r="B10" s="6">
        <v>44476</v>
      </c>
      <c r="C10" s="8">
        <v>5</v>
      </c>
      <c r="D10" s="2">
        <f t="shared" ref="D10:D11" si="4">+E10/C10</f>
        <v>90.996000000000009</v>
      </c>
      <c r="E10" s="10">
        <v>454.98</v>
      </c>
      <c r="F10" s="6">
        <v>44497</v>
      </c>
      <c r="G10" s="9">
        <v>5</v>
      </c>
      <c r="H10" s="5">
        <v>465.74</v>
      </c>
      <c r="I10" s="2">
        <f t="shared" si="1"/>
        <v>10.759999999999991</v>
      </c>
      <c r="J10" s="4">
        <f t="shared" si="2"/>
        <v>2.3649391182029959E-2</v>
      </c>
    </row>
    <row r="11" spans="1:10" x14ac:dyDescent="0.2">
      <c r="A11" s="5" t="s">
        <v>41</v>
      </c>
      <c r="B11" s="6">
        <v>44476</v>
      </c>
      <c r="C11" s="8">
        <v>2</v>
      </c>
      <c r="D11" s="2">
        <f t="shared" si="4"/>
        <v>227.32</v>
      </c>
      <c r="E11" s="10">
        <v>454.64</v>
      </c>
      <c r="F11" s="6">
        <v>44490</v>
      </c>
      <c r="G11" s="9">
        <v>2</v>
      </c>
      <c r="H11" s="5">
        <v>465.99</v>
      </c>
      <c r="I11" s="2">
        <f t="shared" si="1"/>
        <v>11.350000000000023</v>
      </c>
      <c r="J11" s="4">
        <f t="shared" si="2"/>
        <v>2.4964807320077474E-2</v>
      </c>
    </row>
    <row r="12" spans="1:10" x14ac:dyDescent="0.2">
      <c r="A12" s="5" t="s">
        <v>42</v>
      </c>
      <c r="B12" s="6">
        <v>44476</v>
      </c>
      <c r="C12" s="8">
        <v>1</v>
      </c>
      <c r="D12" s="2">
        <f t="shared" ref="D12" si="5">+E12/C12</f>
        <v>334.82</v>
      </c>
      <c r="E12" s="10">
        <v>334.82</v>
      </c>
      <c r="F12" s="6">
        <v>44489</v>
      </c>
      <c r="G12" s="9">
        <v>1</v>
      </c>
      <c r="H12" s="5">
        <v>343.55</v>
      </c>
      <c r="I12" s="2">
        <f t="shared" si="1"/>
        <v>8.7300000000000182</v>
      </c>
      <c r="J12" s="4">
        <f t="shared" si="2"/>
        <v>2.6073711247834714E-2</v>
      </c>
    </row>
    <row r="13" spans="1:10" x14ac:dyDescent="0.2">
      <c r="A13" s="5" t="s">
        <v>33</v>
      </c>
      <c r="B13" s="6">
        <v>44477</v>
      </c>
      <c r="C13" s="8">
        <v>2</v>
      </c>
      <c r="D13" s="2">
        <f t="shared" ref="D13:D15" si="6">+E13/C13</f>
        <v>243.5</v>
      </c>
      <c r="E13" s="10">
        <v>487</v>
      </c>
      <c r="F13" s="6">
        <v>44488</v>
      </c>
      <c r="G13" s="9">
        <v>2</v>
      </c>
      <c r="H13" s="5">
        <v>497.99</v>
      </c>
      <c r="I13" s="2">
        <f t="shared" si="1"/>
        <v>10.990000000000009</v>
      </c>
      <c r="J13" s="4">
        <f t="shared" si="2"/>
        <v>2.2566735112936363E-2</v>
      </c>
    </row>
    <row r="14" spans="1:10" x14ac:dyDescent="0.2">
      <c r="A14" s="5" t="s">
        <v>32</v>
      </c>
      <c r="B14" s="6">
        <v>44477</v>
      </c>
      <c r="C14" s="8">
        <v>1</v>
      </c>
      <c r="D14" s="2">
        <f t="shared" si="6"/>
        <v>581.64</v>
      </c>
      <c r="E14" s="10">
        <v>581.64</v>
      </c>
      <c r="F14" s="6">
        <v>44483</v>
      </c>
      <c r="G14" s="9">
        <v>1</v>
      </c>
      <c r="H14" s="5">
        <v>599.99</v>
      </c>
      <c r="I14" s="2">
        <f t="shared" si="1"/>
        <v>18.350000000000023</v>
      </c>
      <c r="J14" s="4">
        <f t="shared" si="2"/>
        <v>3.154872429681594E-2</v>
      </c>
    </row>
    <row r="15" spans="1:10" x14ac:dyDescent="0.2">
      <c r="A15" s="5" t="s">
        <v>35</v>
      </c>
      <c r="B15" s="6">
        <v>44483</v>
      </c>
      <c r="C15" s="8">
        <v>22</v>
      </c>
      <c r="D15" s="2">
        <f t="shared" si="6"/>
        <v>53.006363636363638</v>
      </c>
      <c r="E15" s="10">
        <v>1166.1400000000001</v>
      </c>
      <c r="F15" s="6">
        <v>44487</v>
      </c>
      <c r="G15" s="10">
        <v>22</v>
      </c>
      <c r="H15" s="5">
        <v>1181.3900000000001</v>
      </c>
      <c r="I15" s="2">
        <f t="shared" si="1"/>
        <v>15.25</v>
      </c>
      <c r="J15" s="4">
        <f t="shared" si="2"/>
        <v>1.3077332052755243E-2</v>
      </c>
    </row>
    <row r="16" spans="1:10" x14ac:dyDescent="0.2">
      <c r="A16" s="5" t="s">
        <v>30</v>
      </c>
      <c r="B16" s="6">
        <v>44487</v>
      </c>
      <c r="C16" s="8">
        <v>4</v>
      </c>
      <c r="D16" s="2">
        <f t="shared" ref="D16" si="7">+E16/C16</f>
        <v>130.24</v>
      </c>
      <c r="E16" s="10">
        <v>520.96</v>
      </c>
      <c r="F16" s="6">
        <v>44490</v>
      </c>
      <c r="G16" s="10">
        <v>4</v>
      </c>
      <c r="H16" s="5">
        <v>531.99</v>
      </c>
      <c r="I16" s="2">
        <f t="shared" ref="I16" si="8">IF(H16="","",H16-E16)</f>
        <v>11.029999999999973</v>
      </c>
      <c r="J16" s="4">
        <f t="shared" ref="J16" si="9">IF(I16="","",I16/E16)</f>
        <v>2.1172450859950807E-2</v>
      </c>
    </row>
    <row r="17" spans="1:10" x14ac:dyDescent="0.2">
      <c r="A17" s="5" t="s">
        <v>43</v>
      </c>
      <c r="B17" s="6">
        <v>44487</v>
      </c>
      <c r="C17" s="8">
        <v>4</v>
      </c>
      <c r="D17" s="2">
        <f t="shared" ref="D17" si="10">+E17/C17</f>
        <v>132.67250000000001</v>
      </c>
      <c r="E17" s="10">
        <v>530.69000000000005</v>
      </c>
      <c r="F17" s="6">
        <v>44490</v>
      </c>
      <c r="G17" s="10">
        <v>4</v>
      </c>
      <c r="H17" s="5">
        <v>539.98</v>
      </c>
      <c r="I17" s="2">
        <f t="shared" ref="I17" si="11">IF(H17="","",H17-E17)</f>
        <v>9.2899999999999636</v>
      </c>
      <c r="J17" s="4">
        <f t="shared" ref="J17" si="12">IF(I17="","",I17/E17)</f>
        <v>1.7505511692325015E-2</v>
      </c>
    </row>
    <row r="18" spans="1:10" x14ac:dyDescent="0.2">
      <c r="A18" s="5" t="s">
        <v>44</v>
      </c>
      <c r="B18" s="6">
        <v>44488</v>
      </c>
      <c r="C18" s="8">
        <v>4</v>
      </c>
      <c r="D18" s="2">
        <f t="shared" ref="D18" si="13">+E18/C18</f>
        <v>141.66999999999999</v>
      </c>
      <c r="E18" s="10">
        <v>566.67999999999995</v>
      </c>
      <c r="F18" s="6"/>
      <c r="G18" s="10"/>
      <c r="H18" s="5"/>
      <c r="I18" s="2" t="str">
        <f t="shared" ref="I18:I21" si="14">IF(H18="","",H18-E18)</f>
        <v/>
      </c>
      <c r="J18" s="4" t="str">
        <f t="shared" ref="J18:J21" si="15">IF(I18="","",I18/E18)</f>
        <v/>
      </c>
    </row>
    <row r="19" spans="1:10" x14ac:dyDescent="0.2">
      <c r="A19" s="5" t="s">
        <v>46</v>
      </c>
      <c r="B19" s="6">
        <v>44490</v>
      </c>
      <c r="C19" s="8">
        <v>7</v>
      </c>
      <c r="D19" s="2">
        <f t="shared" ref="D19" si="16">+E19/C19</f>
        <v>65.650000000000006</v>
      </c>
      <c r="E19" s="10">
        <v>459.55</v>
      </c>
      <c r="F19" s="6">
        <v>44494</v>
      </c>
      <c r="G19" s="10">
        <v>7</v>
      </c>
      <c r="H19" s="5">
        <v>497</v>
      </c>
      <c r="I19" s="2">
        <f t="shared" si="14"/>
        <v>37.449999999999989</v>
      </c>
      <c r="J19" s="4">
        <f t="shared" si="15"/>
        <v>8.1492764661081463E-2</v>
      </c>
    </row>
    <row r="20" spans="1:10" x14ac:dyDescent="0.2">
      <c r="A20" s="5" t="s">
        <v>47</v>
      </c>
      <c r="B20" s="6">
        <v>44490</v>
      </c>
      <c r="C20" s="8">
        <v>44</v>
      </c>
      <c r="D20" s="2">
        <f t="shared" ref="D20" si="17">+E20/C20</f>
        <v>22.900000000000002</v>
      </c>
      <c r="E20" s="10">
        <v>1007.6</v>
      </c>
      <c r="F20" s="6">
        <v>44501</v>
      </c>
      <c r="G20" s="10">
        <v>44</v>
      </c>
      <c r="H20" s="5">
        <v>1020.79</v>
      </c>
      <c r="I20" s="2">
        <f t="shared" si="14"/>
        <v>13.189999999999941</v>
      </c>
      <c r="J20" s="4">
        <f t="shared" si="15"/>
        <v>1.3090512107979298E-2</v>
      </c>
    </row>
    <row r="21" spans="1:10" x14ac:dyDescent="0.2">
      <c r="A21" s="5" t="s">
        <v>28</v>
      </c>
      <c r="B21" s="6">
        <v>44491</v>
      </c>
      <c r="C21" s="8">
        <v>5</v>
      </c>
      <c r="D21" s="2">
        <f t="shared" ref="D21" si="18">+E21/C21</f>
        <v>101.28</v>
      </c>
      <c r="E21" s="10">
        <v>506.4</v>
      </c>
      <c r="F21" s="6">
        <v>44494</v>
      </c>
      <c r="G21" s="10">
        <v>5</v>
      </c>
      <c r="H21" s="5">
        <v>519.99</v>
      </c>
      <c r="I21" s="2">
        <f t="shared" si="14"/>
        <v>13.590000000000032</v>
      </c>
      <c r="J21" s="4">
        <f t="shared" si="15"/>
        <v>2.6836492890995326E-2</v>
      </c>
    </row>
    <row r="22" spans="1:10" x14ac:dyDescent="0.2">
      <c r="A22" s="5" t="s">
        <v>48</v>
      </c>
      <c r="B22" s="6">
        <v>44494</v>
      </c>
      <c r="C22" s="8">
        <v>4</v>
      </c>
      <c r="D22" s="2">
        <f t="shared" ref="D22" si="19">+E22/C22</f>
        <v>228.905</v>
      </c>
      <c r="E22" s="10">
        <v>915.62</v>
      </c>
      <c r="F22" s="6">
        <v>44496</v>
      </c>
      <c r="G22" s="10">
        <v>4</v>
      </c>
      <c r="H22" s="5">
        <v>987.83</v>
      </c>
      <c r="I22" s="2">
        <f t="shared" ref="I22" si="20">IF(H22="","",H22-E22)</f>
        <v>72.210000000000036</v>
      </c>
      <c r="J22" s="4">
        <f t="shared" ref="J22" si="21">IF(I22="","",I22/E22)</f>
        <v>7.8864594482427247E-2</v>
      </c>
    </row>
    <row r="23" spans="1:10" x14ac:dyDescent="0.2">
      <c r="A23" s="5" t="s">
        <v>49</v>
      </c>
      <c r="B23" s="6">
        <v>44494</v>
      </c>
      <c r="C23" s="8">
        <v>1</v>
      </c>
      <c r="D23" s="2">
        <f t="shared" ref="D23" si="22">+E23/C23</f>
        <v>82.58</v>
      </c>
      <c r="E23" s="10">
        <v>82.58</v>
      </c>
      <c r="F23" s="6"/>
      <c r="G23" s="10"/>
      <c r="H23" s="5"/>
      <c r="I23" s="2" t="str">
        <f t="shared" ref="I23" si="23">IF(H23="","",H23-E23)</f>
        <v/>
      </c>
      <c r="J23" s="4" t="str">
        <f t="shared" ref="J23" si="24">IF(I23="","",I23/E23)</f>
        <v/>
      </c>
    </row>
    <row r="24" spans="1:10" x14ac:dyDescent="0.2">
      <c r="A24" s="5" t="s">
        <v>34</v>
      </c>
      <c r="B24" s="6">
        <v>44496</v>
      </c>
      <c r="C24" s="8">
        <v>3</v>
      </c>
      <c r="D24" s="2">
        <f t="shared" ref="D24" si="25">+E24/C24</f>
        <v>343.63000000000005</v>
      </c>
      <c r="E24" s="10">
        <v>1030.8900000000001</v>
      </c>
      <c r="F24" s="6"/>
      <c r="G24" s="10"/>
      <c r="H24" s="5"/>
      <c r="I24" s="2" t="str">
        <f t="shared" ref="I24" si="26">IF(H24="","",H24-E24)</f>
        <v/>
      </c>
      <c r="J24" s="4" t="str">
        <f t="shared" ref="J24" si="27">IF(I24="","",I24/E24)</f>
        <v/>
      </c>
    </row>
    <row r="25" spans="1:10" x14ac:dyDescent="0.2">
      <c r="A25" s="5" t="s">
        <v>50</v>
      </c>
      <c r="B25" s="6">
        <v>44497</v>
      </c>
      <c r="C25" s="8">
        <v>5</v>
      </c>
      <c r="D25" s="2">
        <f t="shared" ref="D25:D26" si="28">+E25/C25</f>
        <v>173.56800000000001</v>
      </c>
      <c r="E25" s="10">
        <v>867.84</v>
      </c>
      <c r="F25" s="6">
        <v>44503</v>
      </c>
      <c r="G25" s="10">
        <v>5</v>
      </c>
      <c r="H25" s="5">
        <v>881.24</v>
      </c>
      <c r="I25" s="2">
        <f t="shared" ref="I25:I26" si="29">IF(H25="","",H25-E25)</f>
        <v>13.399999999999977</v>
      </c>
      <c r="J25" s="4">
        <f t="shared" ref="J25:J26" si="30">IF(I25="","",I25/E25)</f>
        <v>1.5440634218289059E-2</v>
      </c>
    </row>
    <row r="26" spans="1:10" x14ac:dyDescent="0.2">
      <c r="A26" s="5" t="s">
        <v>51</v>
      </c>
      <c r="B26" s="6">
        <v>44497</v>
      </c>
      <c r="C26" s="8">
        <v>11</v>
      </c>
      <c r="D26" s="2">
        <f t="shared" si="28"/>
        <v>13.039090909090909</v>
      </c>
      <c r="E26" s="10">
        <v>143.43</v>
      </c>
      <c r="F26" s="6"/>
      <c r="G26" s="10"/>
      <c r="H26" s="5"/>
      <c r="I26" s="2" t="str">
        <f t="shared" si="29"/>
        <v/>
      </c>
      <c r="J26" s="4" t="str">
        <f t="shared" si="30"/>
        <v/>
      </c>
    </row>
    <row r="27" spans="1:10" x14ac:dyDescent="0.2">
      <c r="A27" s="5" t="s">
        <v>52</v>
      </c>
      <c r="B27" s="6">
        <v>44497</v>
      </c>
      <c r="C27" s="8">
        <v>7</v>
      </c>
      <c r="D27" s="2">
        <f t="shared" ref="D27" si="31">+E27/C27</f>
        <v>66.832857142857137</v>
      </c>
      <c r="E27" s="10">
        <v>467.83</v>
      </c>
      <c r="F27" s="6"/>
      <c r="G27" s="10"/>
      <c r="H27" s="5"/>
      <c r="I27" s="2" t="str">
        <f t="shared" ref="I27" si="32">IF(H27="","",H27-E27)</f>
        <v/>
      </c>
      <c r="J27" s="4" t="str">
        <f t="shared" ref="J27" si="33">IF(I27="","",I27/E27)</f>
        <v/>
      </c>
    </row>
    <row r="28" spans="1:10" x14ac:dyDescent="0.2">
      <c r="A28" s="5" t="s">
        <v>62</v>
      </c>
      <c r="B28" s="6">
        <v>44501</v>
      </c>
      <c r="C28" s="8">
        <v>3</v>
      </c>
      <c r="D28" s="2">
        <f t="shared" ref="D28" si="34">+E28/C28</f>
        <v>289.33999999999997</v>
      </c>
      <c r="E28" s="10">
        <v>868.02</v>
      </c>
      <c r="F28" s="6"/>
      <c r="G28" s="10"/>
      <c r="H28" s="5"/>
      <c r="I28" s="2" t="str">
        <f t="shared" ref="I28" si="35">IF(H28="","",H28-E28)</f>
        <v/>
      </c>
      <c r="J28" s="4" t="str">
        <f t="shared" ref="J28" si="36">IF(I28="","",I28/E28)</f>
        <v/>
      </c>
    </row>
    <row r="29" spans="1:10" x14ac:dyDescent="0.2">
      <c r="A29" s="5" t="s">
        <v>54</v>
      </c>
      <c r="B29" s="6">
        <v>44501</v>
      </c>
      <c r="C29" s="8">
        <v>6</v>
      </c>
      <c r="D29" s="2">
        <f t="shared" ref="D29" si="37">+E29/C29</f>
        <v>22.754999999999999</v>
      </c>
      <c r="E29" s="10">
        <v>136.53</v>
      </c>
      <c r="F29" s="6"/>
      <c r="G29" s="10"/>
      <c r="H29" s="5"/>
      <c r="I29" s="2" t="str">
        <f t="shared" ref="I29" si="38">IF(H29="","",H29-E29)</f>
        <v/>
      </c>
      <c r="J29" s="4" t="str">
        <f t="shared" ref="J29" si="39">IF(I29="","",I29/E29)</f>
        <v/>
      </c>
    </row>
    <row r="30" spans="1:10" x14ac:dyDescent="0.2">
      <c r="A30" s="5" t="s">
        <v>63</v>
      </c>
      <c r="B30" s="6">
        <v>44503</v>
      </c>
      <c r="C30" s="8">
        <v>1</v>
      </c>
      <c r="D30" s="2">
        <f t="shared" ref="D30" si="40">+E30/C30</f>
        <v>573.04999999999995</v>
      </c>
      <c r="E30" s="10">
        <v>573.04999999999995</v>
      </c>
      <c r="F30" s="6"/>
      <c r="G30" s="10"/>
      <c r="H30" s="5"/>
      <c r="I30" s="2" t="str">
        <f t="shared" ref="I30" si="41">IF(H30="","",H30-E30)</f>
        <v/>
      </c>
      <c r="J30" s="4" t="str">
        <f t="shared" ref="J30" si="42">IF(I30="","",I30/E30)</f>
        <v/>
      </c>
    </row>
    <row r="31" spans="1:10" x14ac:dyDescent="0.2">
      <c r="A31" s="5" t="s">
        <v>64</v>
      </c>
      <c r="B31" s="6">
        <v>44503</v>
      </c>
      <c r="C31" s="8">
        <v>1</v>
      </c>
      <c r="D31" s="2">
        <f t="shared" ref="D31" si="43">+E31/C31</f>
        <v>326.64</v>
      </c>
      <c r="E31" s="10">
        <v>326.64</v>
      </c>
      <c r="F31" s="6"/>
      <c r="G31" s="10"/>
      <c r="H31" s="5"/>
      <c r="I31" s="2" t="str">
        <f t="shared" ref="I31" si="44">IF(H31="","",H31-E31)</f>
        <v/>
      </c>
      <c r="J31" s="4" t="str">
        <f t="shared" ref="J31" si="45">IF(I31="","",I31/E31)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1DBC7-F06A-4F82-824C-BEC25FB2D6CD}">
  <dimension ref="A1:F2"/>
  <sheetViews>
    <sheetView tabSelected="1" workbookViewId="0">
      <selection activeCell="A3" sqref="A3"/>
    </sheetView>
  </sheetViews>
  <sheetFormatPr defaultRowHeight="14.25" x14ac:dyDescent="0.2"/>
  <cols>
    <col min="1" max="1" width="9.3984375" bestFit="1" customWidth="1"/>
    <col min="2" max="2" width="10.59765625" bestFit="1" customWidth="1"/>
    <col min="3" max="3" width="10.69921875" bestFit="1" customWidth="1"/>
    <col min="4" max="5" width="18.8984375" bestFit="1" customWidth="1"/>
    <col min="6" max="6" width="14.59765625" bestFit="1" customWidth="1"/>
  </cols>
  <sheetData>
    <row r="1" spans="1:6" x14ac:dyDescent="0.2">
      <c r="A1" t="s">
        <v>45</v>
      </c>
      <c r="B1" t="s">
        <v>24</v>
      </c>
      <c r="C1" t="s">
        <v>58</v>
      </c>
      <c r="D1" t="s">
        <v>59</v>
      </c>
      <c r="E1" t="s">
        <v>60</v>
      </c>
      <c r="F1" t="s">
        <v>61</v>
      </c>
    </row>
    <row r="2" spans="1:6" x14ac:dyDescent="0.2">
      <c r="A2" s="13">
        <v>4000</v>
      </c>
      <c r="B2" s="2">
        <f>SUM(StockOwnership!I:I)</f>
        <v>304.81743</v>
      </c>
      <c r="C2" s="12">
        <f>B2/A2</f>
        <v>7.62043575E-2</v>
      </c>
      <c r="D2" s="9">
        <v>-146.6</v>
      </c>
      <c r="E2" s="2">
        <f>B2+D2</f>
        <v>158.21743000000001</v>
      </c>
      <c r="F2" s="12">
        <f>+E2/A2</f>
        <v>3.9554357500000005E-2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A437F-8F6E-463E-8CE0-9C2A66ECF3A9}">
  <dimension ref="A1:B3"/>
  <sheetViews>
    <sheetView workbookViewId="0">
      <selection activeCell="B3" sqref="B3"/>
    </sheetView>
  </sheetViews>
  <sheetFormatPr defaultRowHeight="14.25" x14ac:dyDescent="0.2"/>
  <cols>
    <col min="1" max="1" width="16.5" bestFit="1" customWidth="1"/>
  </cols>
  <sheetData>
    <row r="1" spans="1:2" x14ac:dyDescent="0.2">
      <c r="A1" t="s">
        <v>37</v>
      </c>
      <c r="B1" s="9">
        <v>581.64</v>
      </c>
    </row>
    <row r="2" spans="1:2" x14ac:dyDescent="0.2">
      <c r="A2" t="s">
        <v>38</v>
      </c>
      <c r="B2" s="11">
        <v>0.02</v>
      </c>
    </row>
    <row r="3" spans="1:2" x14ac:dyDescent="0.2">
      <c r="A3" t="s">
        <v>39</v>
      </c>
      <c r="B3" s="2">
        <f>B1*(1 + B2)</f>
        <v>593.27279999999996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7C0E2-CB8B-4BE0-9E17-A8D86E0C991C}">
  <dimension ref="A1:D5"/>
  <sheetViews>
    <sheetView workbookViewId="0">
      <pane ySplit="1" topLeftCell="A2" activePane="bottomLeft" state="frozen"/>
      <selection pane="bottomLeft" activeCell="B4" sqref="B4"/>
    </sheetView>
  </sheetViews>
  <sheetFormatPr defaultRowHeight="14.25" x14ac:dyDescent="0.2"/>
  <cols>
    <col min="1" max="1" width="6.5" bestFit="1" customWidth="1"/>
    <col min="2" max="2" width="25.69921875" bestFit="1" customWidth="1"/>
    <col min="3" max="3" width="19.5" bestFit="1" customWidth="1"/>
    <col min="4" max="4" width="22" bestFit="1" customWidth="1"/>
  </cols>
  <sheetData>
    <row r="1" spans="1:4" x14ac:dyDescent="0.2">
      <c r="A1" t="s">
        <v>2</v>
      </c>
      <c r="B1" t="s">
        <v>0</v>
      </c>
      <c r="C1" t="s">
        <v>9</v>
      </c>
      <c r="D1" t="s">
        <v>3</v>
      </c>
    </row>
    <row r="2" spans="1:4" x14ac:dyDescent="0.2">
      <c r="A2" t="s">
        <v>4</v>
      </c>
      <c r="B2" t="s">
        <v>5</v>
      </c>
      <c r="C2" t="s">
        <v>10</v>
      </c>
      <c r="D2" t="s">
        <v>8</v>
      </c>
    </row>
    <row r="3" spans="1:4" x14ac:dyDescent="0.2">
      <c r="A3" t="s">
        <v>6</v>
      </c>
      <c r="B3" t="s">
        <v>7</v>
      </c>
      <c r="C3" t="s">
        <v>11</v>
      </c>
      <c r="D3" t="s">
        <v>12</v>
      </c>
    </row>
    <row r="4" spans="1:4" x14ac:dyDescent="0.2">
      <c r="A4" t="s">
        <v>1</v>
      </c>
      <c r="B4" t="s">
        <v>13</v>
      </c>
      <c r="C4" t="s">
        <v>14</v>
      </c>
      <c r="D4" t="s">
        <v>15</v>
      </c>
    </row>
    <row r="5" spans="1:4" x14ac:dyDescent="0.2">
      <c r="A5" t="s">
        <v>19</v>
      </c>
      <c r="B5" t="s">
        <v>26</v>
      </c>
      <c r="C5" t="s">
        <v>14</v>
      </c>
      <c r="D5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StockConsideration</vt:lpstr>
      <vt:lpstr>StockOwnership</vt:lpstr>
      <vt:lpstr>Return</vt:lpstr>
      <vt:lpstr>Price_Increase</vt:lpstr>
      <vt:lpstr>SymbolLookup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Walker (123279)</dc:creator>
  <cp:lastModifiedBy>Jason Walker (123279)</cp:lastModifiedBy>
  <dcterms:created xsi:type="dcterms:W3CDTF">2021-09-22T16:05:45Z</dcterms:created>
  <dcterms:modified xsi:type="dcterms:W3CDTF">2021-11-03T15:09:43Z</dcterms:modified>
</cp:coreProperties>
</file>